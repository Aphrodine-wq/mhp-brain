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&quot;$&quot;#,##0.00"/>
    <numFmt numFmtId="166" formatCode="0.00000%"/>
    <numFmt numFmtId="167" formatCode="&quot;$&quot;#,##0.00_);\(&quot;$&quot;#,##0.00\)"/>
  </numFmts>
  <fonts count="16">
    <font>
      <name val="Calibri"/>
      <color theme="1"/>
      <sz val="11"/>
      <scheme val="minor"/>
    </font>
    <font>
      <name val="Arial"/>
      <color theme="1"/>
      <sz val="12"/>
    </font>
    <font>
      <name val="Arial"/>
      <b val="1"/>
      <i val="1"/>
      <color rgb="FF000000"/>
      <sz val="12"/>
    </font>
    <font>
      <name val="Times New Roman"/>
      <color rgb="FF000000"/>
      <sz val="10"/>
    </font>
    <font>
      <name val="Arial"/>
      <color rgb="FF000000"/>
      <sz val="12"/>
    </font>
    <font>
      <name val="Calibri"/>
      <color theme="1"/>
      <sz val="11"/>
    </font>
    <font>
      <name val="Arial"/>
      <color rgb="FFFF0000"/>
      <sz val="16"/>
      <u val="single"/>
    </font>
    <font>
      <name val="Arial"/>
      <b val="1"/>
      <color rgb="FFFF0000"/>
      <sz val="16"/>
      <u val="single"/>
    </font>
    <font>
      <name val="Arial"/>
      <b val="1"/>
      <color theme="1"/>
      <sz val="12"/>
    </font>
    <font>
      <name val="Arial"/>
      <b val="1"/>
      <color rgb="FF000000"/>
      <sz val="12"/>
    </font>
    <font>
      <name val="Times New Roman"/>
      <b val="1"/>
      <color rgb="FF000000"/>
      <sz val="10"/>
    </font>
    <font>
      <name val="Arial"/>
      <color rgb="FFFF0000"/>
      <sz val="12"/>
    </font>
    <font>
      <name val="Calibri"/>
      <sz val="11"/>
    </font>
    <font>
      <name val="Arial"/>
      <b val="1"/>
      <color rgb="FF000000"/>
      <sz val="18"/>
    </font>
    <font>
      <name val="Arial"/>
      <b val="1"/>
      <color rgb="FFFF0000"/>
      <sz val="12"/>
    </font>
    <font>
      <name val="Arial"/>
      <family val="2"/>
      <sz val="12"/>
    </font>
  </fonts>
  <fills count="12">
    <fill>
      <patternFill/>
    </fill>
    <fill>
      <patternFill patternType="gray125"/>
    </fill>
    <fill>
      <patternFill patternType="solid">
        <fgColor rgb="FFFF6600"/>
        <bgColor rgb="FFFF6600"/>
      </patternFill>
    </fill>
    <fill>
      <patternFill patternType="solid">
        <fgColor rgb="FF99CC00"/>
        <bgColor rgb="FF99CC00"/>
      </patternFill>
    </fill>
    <fill>
      <patternFill patternType="solid">
        <fgColor rgb="FF008000"/>
        <bgColor rgb="FF008000"/>
      </patternFill>
    </fill>
    <fill>
      <patternFill patternType="solid">
        <fgColor rgb="FF00B0F0"/>
        <bgColor rgb="FF00B0F0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CC99FF"/>
      </patternFill>
    </fill>
    <fill>
      <patternFill patternType="solid">
        <fgColor rgb="FF00CCFF"/>
        <bgColor rgb="FF00CCFF"/>
      </patternFill>
    </fill>
    <fill>
      <patternFill patternType="solid">
        <fgColor rgb="FFFFFF99"/>
        <bgColor rgb="FFFFFF99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4">
    <xf numFmtId="0" fontId="0" fillId="0" borderId="0" pivotButton="0" quotePrefix="0" xfId="0"/>
    <xf numFmtId="2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center"/>
    </xf>
    <xf numFmtId="165" fontId="7" fillId="0" borderId="0" applyAlignment="1" pivotButton="0" quotePrefix="0" xfId="0">
      <alignment horizontal="center"/>
    </xf>
    <xf numFmtId="2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165" fontId="1" fillId="2" borderId="1" applyAlignment="1" pivotButton="0" quotePrefix="0" xfId="0">
      <alignment horizontal="center"/>
    </xf>
    <xf numFmtId="165" fontId="4" fillId="2" borderId="1" applyAlignment="1" pivotButton="0" quotePrefix="0" xfId="0">
      <alignment horizontal="center" wrapText="1"/>
    </xf>
    <xf numFmtId="165" fontId="4" fillId="0" borderId="1" applyAlignment="1" pivotButton="0" quotePrefix="0" xfId="0">
      <alignment horizontal="center" wrapText="1"/>
    </xf>
    <xf numFmtId="165" fontId="9" fillId="0" borderId="1" applyAlignment="1" pivotButton="0" quotePrefix="0" xfId="0">
      <alignment horizontal="center"/>
    </xf>
    <xf numFmtId="165" fontId="9" fillId="0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2" fontId="1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left" wrapText="1"/>
    </xf>
    <xf numFmtId="165" fontId="4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left" wrapText="1"/>
    </xf>
    <xf numFmtId="164" fontId="4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165" fontId="4" fillId="3" borderId="1" applyAlignment="1" pivotButton="0" quotePrefix="0" xfId="0">
      <alignment horizontal="center" wrapText="1"/>
    </xf>
    <xf numFmtId="0" fontId="8" fillId="0" borderId="1" applyAlignment="1" pivotButton="0" quotePrefix="0" xfId="0">
      <alignment horizontal="center" wrapText="1"/>
    </xf>
    <xf numFmtId="165" fontId="4" fillId="3" borderId="1" applyAlignment="1" pivotButton="0" quotePrefix="0" xfId="0">
      <alignment horizontal="center"/>
    </xf>
    <xf numFmtId="165" fontId="4" fillId="2" borderId="1" applyAlignment="1" pivotButton="0" quotePrefix="0" xfId="0">
      <alignment horizontal="center"/>
    </xf>
    <xf numFmtId="2" fontId="4" fillId="0" borderId="1" applyAlignment="1" pivotButton="0" quotePrefix="0" xfId="0">
      <alignment horizontal="right"/>
    </xf>
    <xf numFmtId="0" fontId="10" fillId="0" borderId="1" applyAlignment="1" pivotButton="0" quotePrefix="0" xfId="0">
      <alignment horizontal="center" vertical="top"/>
    </xf>
    <xf numFmtId="0" fontId="10" fillId="0" borderId="0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8" fillId="3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164" fontId="4" fillId="2" borderId="1" applyAlignment="1" pivotButton="0" quotePrefix="0" xfId="0">
      <alignment horizontal="center"/>
    </xf>
    <xf numFmtId="0" fontId="9" fillId="0" borderId="1" applyAlignment="1" pivotButton="0" quotePrefix="0" xfId="0">
      <alignment horizontal="center" wrapText="1"/>
    </xf>
    <xf numFmtId="164" fontId="1" fillId="2" borderId="1" applyAlignment="1" pivotButton="0" quotePrefix="0" xfId="0">
      <alignment horizontal="center" wrapText="1"/>
    </xf>
    <xf numFmtId="165" fontId="1" fillId="2" borderId="1" applyAlignment="1" pivotButton="0" quotePrefix="0" xfId="0">
      <alignment horizontal="center" wrapText="1"/>
    </xf>
    <xf numFmtId="164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164" fontId="3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165" fontId="11" fillId="2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65" fontId="1" fillId="3" borderId="1" applyAlignment="1" pivotButton="0" quotePrefix="0" xfId="0">
      <alignment horizontal="center"/>
    </xf>
    <xf numFmtId="164" fontId="4" fillId="2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166" fontId="4" fillId="2" borderId="1" applyAlignment="1" pivotButton="0" quotePrefix="0" xfId="0">
      <alignment horizontal="center"/>
    </xf>
    <xf numFmtId="167" fontId="4" fillId="2" borderId="1" applyAlignment="1" pivotButton="0" quotePrefix="0" xfId="0">
      <alignment horizontal="center"/>
    </xf>
    <xf numFmtId="164" fontId="4" fillId="2" borderId="2" applyAlignment="1" pivotButton="0" quotePrefix="0" xfId="0">
      <alignment horizontal="center"/>
    </xf>
    <xf numFmtId="0" fontId="1" fillId="2" borderId="2" applyAlignment="1" pivotButton="0" quotePrefix="0" xfId="0">
      <alignment horizontal="center" wrapText="1"/>
    </xf>
    <xf numFmtId="165" fontId="4" fillId="2" borderId="2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3" borderId="1" applyAlignment="1" pivotButton="0" quotePrefix="0" xfId="0">
      <alignment horizontal="center" wrapText="1"/>
    </xf>
    <xf numFmtId="164" fontId="4" fillId="2" borderId="3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wrapText="1"/>
    </xf>
    <xf numFmtId="164" fontId="4" fillId="2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165" fontId="4" fillId="4" borderId="6" applyAlignment="1" pivotButton="0" quotePrefix="0" xfId="0">
      <alignment horizontal="center" wrapText="1"/>
    </xf>
    <xf numFmtId="165" fontId="4" fillId="5" borderId="6" applyAlignment="1" pivotButton="0" quotePrefix="0" xfId="0">
      <alignment horizontal="center" wrapText="1"/>
    </xf>
    <xf numFmtId="165" fontId="4" fillId="6" borderId="6" applyAlignment="1" pivotButton="0" quotePrefix="0" xfId="0">
      <alignment horizontal="center" wrapText="1"/>
    </xf>
    <xf numFmtId="165" fontId="4" fillId="7" borderId="6" applyAlignment="1" pivotButton="0" quotePrefix="0" xfId="0">
      <alignment horizontal="center" wrapText="1"/>
    </xf>
    <xf numFmtId="165" fontId="4" fillId="8" borderId="6" applyAlignment="1" pivotButton="0" quotePrefix="0" xfId="0">
      <alignment horizontal="center" wrapText="1"/>
    </xf>
    <xf numFmtId="0" fontId="5" fillId="0" borderId="0" applyAlignment="1" pivotButton="0" quotePrefix="0" xfId="0">
      <alignment horizontal="left"/>
    </xf>
    <xf numFmtId="0" fontId="9" fillId="2" borderId="12" applyAlignment="1" pivotButton="0" quotePrefix="0" xfId="0">
      <alignment horizontal="center" vertical="center"/>
    </xf>
    <xf numFmtId="164" fontId="4" fillId="2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165" fontId="4" fillId="0" borderId="15" applyAlignment="1" pivotButton="0" quotePrefix="0" xfId="0">
      <alignment horizontal="center" vertical="center"/>
    </xf>
    <xf numFmtId="0" fontId="4" fillId="9" borderId="17" applyAlignment="1" pivotButton="0" quotePrefix="0" xfId="0">
      <alignment horizontal="center" vertical="center"/>
    </xf>
    <xf numFmtId="10" fontId="4" fillId="9" borderId="18" applyAlignment="1" pivotButton="0" quotePrefix="0" xfId="0">
      <alignment horizontal="center" vertical="center"/>
    </xf>
    <xf numFmtId="165" fontId="4" fillId="9" borderId="1" applyAlignment="1" pivotButton="0" quotePrefix="0" xfId="0">
      <alignment horizontal="center" vertical="center"/>
    </xf>
    <xf numFmtId="165" fontId="4" fillId="9" borderId="19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/>
    </xf>
    <xf numFmtId="2" fontId="4" fillId="2" borderId="18" applyAlignment="1" pivotButton="0" quotePrefix="0" xfId="0">
      <alignment horizontal="center" vertical="center"/>
    </xf>
    <xf numFmtId="165" fontId="4" fillId="10" borderId="1" applyAlignment="1" pivotButton="0" quotePrefix="0" xfId="0">
      <alignment horizontal="center" vertical="center"/>
    </xf>
    <xf numFmtId="165" fontId="4" fillId="0" borderId="19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165" fontId="4" fillId="11" borderId="1" applyAlignment="1" pivotButton="0" quotePrefix="0" xfId="0">
      <alignment horizontal="center" vertical="center"/>
    </xf>
    <xf numFmtId="10" fontId="4" fillId="2" borderId="18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0" borderId="21" applyAlignment="1" pivotButton="0" quotePrefix="0" xfId="0">
      <alignment horizontal="center"/>
    </xf>
    <xf numFmtId="43" fontId="4" fillId="0" borderId="22" applyAlignment="1" pivotButton="0" quotePrefix="0" xfId="0">
      <alignment horizontal="center"/>
    </xf>
    <xf numFmtId="165" fontId="4" fillId="0" borderId="23" applyAlignment="1" pivotButton="0" quotePrefix="0" xfId="0">
      <alignment horizontal="center"/>
    </xf>
    <xf numFmtId="165" fontId="4" fillId="0" borderId="24" applyAlignment="1" pivotButton="0" quotePrefix="0" xfId="0">
      <alignment horizontal="center"/>
    </xf>
    <xf numFmtId="43" fontId="4" fillId="0" borderId="25" applyAlignment="1" pivotButton="0" quotePrefix="0" xfId="0">
      <alignment horizontal="center"/>
    </xf>
    <xf numFmtId="165" fontId="4" fillId="0" borderId="26" applyAlignment="1" pivotButton="0" quotePrefix="0" xfId="0">
      <alignment horizontal="center"/>
    </xf>
    <xf numFmtId="165" fontId="4" fillId="0" borderId="1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center"/>
    </xf>
    <xf numFmtId="165" fontId="4" fillId="4" borderId="19" applyAlignment="1" pivotButton="0" quotePrefix="0" xfId="0">
      <alignment horizontal="center" vertical="center"/>
    </xf>
    <xf numFmtId="165" fontId="4" fillId="7" borderId="19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/>
    </xf>
    <xf numFmtId="165" fontId="4" fillId="8" borderId="19" applyAlignment="1" pivotButton="0" quotePrefix="0" xfId="0">
      <alignment horizontal="center" vertical="center"/>
    </xf>
    <xf numFmtId="0" fontId="9" fillId="9" borderId="20" applyAlignment="1" pivotButton="0" quotePrefix="0" xfId="0">
      <alignment horizontal="center" vertical="center"/>
    </xf>
    <xf numFmtId="164" fontId="4" fillId="9" borderId="18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9" fillId="0" borderId="27" applyAlignment="1" pivotButton="0" quotePrefix="0" xfId="0">
      <alignment horizontal="center" vertical="center"/>
    </xf>
    <xf numFmtId="165" fontId="4" fillId="7" borderId="28" applyAlignment="1" pivotButton="0" quotePrefix="0" xfId="0">
      <alignment horizontal="center" vertical="center"/>
    </xf>
    <xf numFmtId="165" fontId="4" fillId="8" borderId="29" applyAlignment="1" pivotButton="0" quotePrefix="0" xfId="0">
      <alignment horizontal="center" vertical="center"/>
    </xf>
    <xf numFmtId="166" fontId="4" fillId="0" borderId="3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center"/>
    </xf>
    <xf numFmtId="2" fontId="1" fillId="8" borderId="1" applyAlignment="1" pivotButton="0" quotePrefix="0" xfId="0">
      <alignment horizontal="right"/>
    </xf>
    <xf numFmtId="0" fontId="1" fillId="8" borderId="1" applyAlignment="1" pivotButton="0" quotePrefix="0" xfId="0">
      <alignment horizontal="left" wrapText="1"/>
    </xf>
    <xf numFmtId="165" fontId="1" fillId="0" borderId="1" applyAlignment="1" pivotButton="0" quotePrefix="0" xfId="0">
      <alignment horizontal="left" wrapText="1"/>
    </xf>
    <xf numFmtId="0" fontId="4" fillId="2" borderId="1" applyAlignment="1" pivotButton="0" quotePrefix="0" xfId="0">
      <alignment horizontal="center"/>
    </xf>
    <xf numFmtId="0" fontId="4" fillId="8" borderId="1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" fontId="4" fillId="2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5" fontId="6" fillId="0" borderId="0" applyAlignment="1" pivotButton="0" quotePrefix="0" xfId="0">
      <alignment horizontal="center"/>
    </xf>
    <xf numFmtId="2" fontId="1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left"/>
    </xf>
    <xf numFmtId="165" fontId="1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left" vertical="top"/>
    </xf>
    <xf numFmtId="0" fontId="1" fillId="0" borderId="2" applyAlignment="1" pivotButton="0" quotePrefix="0" xfId="0">
      <alignment horizontal="left" wrapText="1"/>
    </xf>
    <xf numFmtId="165" fontId="4" fillId="0" borderId="2" applyAlignment="1" pivotButton="0" quotePrefix="0" xfId="0">
      <alignment horizontal="center" wrapText="1"/>
    </xf>
    <xf numFmtId="165" fontId="4" fillId="0" borderId="2" applyAlignment="1" pivotButton="0" quotePrefix="0" xfId="0">
      <alignment horizontal="center"/>
    </xf>
    <xf numFmtId="2" fontId="1" fillId="0" borderId="6" applyAlignment="1" pivotButton="0" quotePrefix="0" xfId="0">
      <alignment horizontal="right"/>
    </xf>
    <xf numFmtId="0" fontId="9" fillId="0" borderId="6" applyAlignment="1" pivotButton="0" quotePrefix="0" xfId="0">
      <alignment horizontal="center" wrapText="1"/>
    </xf>
    <xf numFmtId="0" fontId="4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left" vertical="top"/>
    </xf>
    <xf numFmtId="164" fontId="4" fillId="0" borderId="18" applyAlignment="1" pivotButton="0" quotePrefix="0" xfId="0">
      <alignment horizontal="center" vertical="center"/>
    </xf>
    <xf numFmtId="165" fontId="15" fillId="2" borderId="1" applyAlignment="1" pivotButton="0" quotePrefix="0" xfId="0">
      <alignment horizontal="center"/>
    </xf>
    <xf numFmtId="0" fontId="4" fillId="4" borderId="4" applyAlignment="1" pivotButton="0" quotePrefix="0" xfId="0">
      <alignment horizontal="center" wrapText="1"/>
    </xf>
    <xf numFmtId="0" fontId="8" fillId="0" borderId="7" applyAlignment="1" pivotButton="0" quotePrefix="0" xfId="0">
      <alignment horizontal="center" wrapText="1"/>
    </xf>
    <xf numFmtId="165" fontId="9" fillId="7" borderId="1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center"/>
    </xf>
    <xf numFmtId="165" fontId="14" fillId="0" borderId="16" applyAlignment="1" pivotButton="0" quotePrefix="0" xfId="0">
      <alignment horizontal="center"/>
    </xf>
    <xf numFmtId="0" fontId="12" fillId="0" borderId="4" pivotButton="0" quotePrefix="0" xfId="0"/>
    <xf numFmtId="0" fontId="12" fillId="0" borderId="5" pivotButton="0" quotePrefix="0" xfId="0"/>
    <xf numFmtId="0" fontId="12" fillId="0" borderId="7" pivotButton="0" quotePrefix="0" xfId="0"/>
    <xf numFmtId="0" fontId="12" fillId="0" borderId="8" pivotButton="0" quotePrefix="0" xfId="0"/>
    <xf numFmtId="0" fontId="12" fillId="0" borderId="10" pivotButton="0" quotePrefix="0" xfId="0"/>
    <xf numFmtId="0" fontId="12" fillId="0" borderId="11" pivotButton="0" quotePrefix="0" xfId="0"/>
    <xf numFmtId="0" fontId="0" fillId="0" borderId="0" pivotButton="0" quotePrefix="0" xfId="0"/>
    <xf numFmtId="167" fontId="4" fillId="2" borderId="1" applyAlignment="1" pivotButton="0" quotePrefix="0" xfId="0">
      <alignment horizontal="center"/>
    </xf>
    <xf numFmtId="0" fontId="4" fillId="4" borderId="5" applyAlignment="1" pivotButton="0" quotePrefix="0" xfId="0">
      <alignment horizont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8" applyAlignment="1" pivotButton="0" quotePrefix="0" xfId="0">
      <alignment horizontal="center" wrapText="1"/>
    </xf>
    <xf numFmtId="0" fontId="0" fillId="0" borderId="7" pivotButton="0" quotePrefix="0" xfId="0"/>
    <xf numFmtId="0" fontId="0" fillId="0" borderId="8" pivotButton="0" quotePrefix="0" xfId="0"/>
    <xf numFmtId="165" fontId="9" fillId="7" borderId="1" applyAlignment="1" pivotButton="0" quotePrefix="0" xfId="0">
      <alignment horizontal="center" wrapText="1"/>
    </xf>
    <xf numFmtId="0" fontId="13" fillId="0" borderId="3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tabSelected="1" topLeftCell="A131" workbookViewId="0">
      <selection activeCell="F141" sqref="F141"/>
    </sheetView>
  </sheetViews>
  <sheetFormatPr baseColWidth="8" defaultColWidth="14.42578125" defaultRowHeight="15" customHeight="1"/>
  <cols>
    <col width="14" customWidth="1" style="152" min="1" max="1"/>
    <col width="48.85546875" customWidth="1" style="152" min="2" max="2"/>
    <col width="15" customWidth="1" style="152" min="3" max="3"/>
    <col width="15.140625" customWidth="1" style="152" min="4" max="4"/>
    <col width="15.28515625" customWidth="1" style="152" min="5" max="5"/>
    <col width="17.85546875" customWidth="1" style="152" min="6" max="6"/>
    <col width="13.28515625" customWidth="1" style="152" min="7" max="7"/>
    <col width="15.85546875" customWidth="1" style="152" min="8" max="8"/>
    <col width="14.42578125" customWidth="1" style="152" min="9" max="9"/>
    <col width="13.5703125" customWidth="1" style="152" min="10" max="10"/>
    <col width="14.42578125" customWidth="1" style="152" min="11" max="11"/>
    <col width="13" customWidth="1" style="152" min="12" max="12"/>
    <col width="24.28515625" customWidth="1" style="152" min="13" max="13"/>
    <col width="24.5703125" customWidth="1" style="152" min="14" max="14"/>
    <col width="9.140625" customWidth="1" style="152" min="15" max="26"/>
  </cols>
  <sheetData>
    <row r="1" ht="29.25" customHeight="1" s="152">
      <c r="A1" s="1" t="n"/>
      <c r="B1" s="2" t="n"/>
      <c r="C1" s="3" t="n"/>
      <c r="D1" s="4" t="n"/>
      <c r="E1" s="5" t="n"/>
      <c r="F1" s="5" t="n"/>
      <c r="G1" s="5" t="n"/>
      <c r="H1" s="5" t="n"/>
      <c r="I1" s="5" t="n"/>
      <c r="J1" s="5" t="n"/>
      <c r="K1" s="5" t="n"/>
      <c r="L1" s="5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29.25" customHeight="1" s="152">
      <c r="A2" s="1" t="n"/>
      <c r="B2" s="2" t="n"/>
      <c r="C2" s="3" t="n"/>
      <c r="D2" s="7" t="inlineStr">
        <is>
          <t>DO NOT CHANGE OR MODIFY ANY CELL THAT IS NOT HIGHLIGHTED ORANGE!!</t>
        </is>
      </c>
      <c r="E2" s="126" t="n"/>
      <c r="F2" s="126" t="n"/>
      <c r="G2" s="126" t="n"/>
      <c r="H2" s="126" t="n"/>
      <c r="I2" s="8" t="n"/>
      <c r="J2" s="8" t="n"/>
      <c r="K2" s="8" t="n"/>
      <c r="L2" s="5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29.25" customHeight="1" s="152">
      <c r="A3" s="1" t="n"/>
      <c r="B3" s="2" t="n"/>
      <c r="C3" s="3" t="n"/>
      <c r="D3" s="7" t="n"/>
      <c r="E3" s="126" t="n"/>
      <c r="F3" s="126" t="n"/>
      <c r="G3" s="126" t="n"/>
      <c r="H3" s="126" t="n"/>
      <c r="I3" s="8" t="n"/>
      <c r="J3" s="8" t="n"/>
      <c r="K3" s="8" t="n"/>
      <c r="L3" s="5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29.25" customHeight="1" s="152">
      <c r="A4" s="1" t="n"/>
      <c r="B4" s="2" t="n"/>
      <c r="C4" s="3" t="n"/>
      <c r="D4" s="4" t="n"/>
      <c r="E4" s="5" t="n"/>
      <c r="F4" s="5" t="n"/>
      <c r="G4" s="5" t="n"/>
      <c r="H4" s="5" t="n"/>
      <c r="I4" s="5" t="n"/>
      <c r="J4" s="5" t="n"/>
      <c r="K4" s="5" t="n"/>
      <c r="L4" s="5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48.75" customHeight="1" s="152">
      <c r="A5" s="9" t="inlineStr">
        <is>
          <t>Item #</t>
        </is>
      </c>
      <c r="B5" s="10" t="inlineStr">
        <is>
          <t>Description</t>
        </is>
      </c>
      <c r="C5" s="11" t="inlineStr">
        <is>
          <t>Approx.
Quantity</t>
        </is>
      </c>
      <c r="D5" s="12" t="inlineStr">
        <is>
          <t>Unit of Measure</t>
        </is>
      </c>
      <c r="E5" s="13" t="inlineStr">
        <is>
          <t>Unit 
Price</t>
        </is>
      </c>
      <c r="F5" s="14" t="inlineStr">
        <is>
          <t>Material &amp; Equipment</t>
        </is>
      </c>
      <c r="G5" s="14" t="inlineStr">
        <is>
          <t>Self Performed Labor</t>
        </is>
      </c>
      <c r="H5" s="14" t="inlineStr">
        <is>
          <t>Subcontractor Bid</t>
        </is>
      </c>
      <c r="I5" s="15" t="inlineStr">
        <is>
          <t>Item
Total</t>
        </is>
      </c>
      <c r="J5" s="16" t="inlineStr">
        <is>
          <t>Markup</t>
        </is>
      </c>
      <c r="K5" s="17" t="inlineStr">
        <is>
          <t>SOV Total</t>
        </is>
      </c>
      <c r="L5" s="17" t="inlineStr">
        <is>
          <t>SOV Unit Cost</t>
        </is>
      </c>
      <c r="M5" s="18" t="inlineStr">
        <is>
          <t>Subcontractor Name</t>
        </is>
      </c>
      <c r="N5" s="18" t="inlineStr">
        <is>
          <t>Change Orders</t>
        </is>
      </c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29.25" customHeight="1" s="152">
      <c r="A6" s="19" t="n"/>
      <c r="B6" s="10" t="inlineStr">
        <is>
          <t>Division 1: General Requirements</t>
        </is>
      </c>
      <c r="C6" s="11" t="n"/>
      <c r="D6" s="12" t="n"/>
      <c r="E6" s="13" t="n"/>
      <c r="F6" s="14" t="n"/>
      <c r="G6" s="14" t="n"/>
      <c r="H6" s="14" t="n"/>
      <c r="I6" s="15" t="n"/>
      <c r="J6" s="16" t="n"/>
      <c r="K6" s="17" t="n"/>
      <c r="L6" s="17" t="n"/>
      <c r="M6" s="20" t="n"/>
      <c r="N6" s="20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29.25" customHeight="1" s="152">
      <c r="A7" s="19" t="n">
        <v>1</v>
      </c>
      <c r="B7" s="21" t="inlineStr">
        <is>
          <t>General Conditions</t>
        </is>
      </c>
      <c r="C7" s="11" t="n"/>
      <c r="D7" s="12" t="inlineStr">
        <is>
          <t>each</t>
        </is>
      </c>
      <c r="E7" s="14" t="n"/>
      <c r="F7" s="14" t="n"/>
      <c r="G7" s="14" t="n"/>
      <c r="H7" s="14" t="n"/>
      <c r="I7" s="15">
        <f>PRODUCT(C7*E7)</f>
        <v/>
      </c>
      <c r="J7" s="15">
        <f>PRODUCT(I7)*E$202</f>
        <v/>
      </c>
      <c r="K7" s="22">
        <f>SUM(I7:J7)</f>
        <v/>
      </c>
      <c r="L7" s="22">
        <f>(K7/C7)</f>
        <v/>
      </c>
      <c r="M7" s="20" t="n"/>
      <c r="N7" s="20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29.25" customHeight="1" s="152">
      <c r="A8" s="19" t="n">
        <v>1.3</v>
      </c>
      <c r="B8" s="21" t="inlineStr">
        <is>
          <t>Material Purchase Certificiate</t>
        </is>
      </c>
      <c r="C8" s="11" t="n"/>
      <c r="D8" s="12" t="n"/>
      <c r="E8" s="14" t="n"/>
      <c r="F8" s="14" t="n"/>
      <c r="G8" s="14" t="n"/>
      <c r="H8" s="14" t="n"/>
      <c r="I8" s="15">
        <f>PRODUCT(C8*E8)</f>
        <v/>
      </c>
      <c r="J8" s="15">
        <f>PRODUCT(I8)*E$202</f>
        <v/>
      </c>
      <c r="K8" s="22">
        <f>SUM(I8:J8)</f>
        <v/>
      </c>
      <c r="L8" s="22">
        <f>(K8/C8)</f>
        <v/>
      </c>
      <c r="M8" s="20" t="n"/>
      <c r="N8" s="20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29.25" customHeight="1" s="152">
      <c r="A9" s="19" t="n">
        <v>1.3</v>
      </c>
      <c r="B9" s="21" t="inlineStr">
        <is>
          <t>Bonds</t>
        </is>
      </c>
      <c r="C9" s="11" t="n"/>
      <c r="D9" s="12" t="n"/>
      <c r="E9" s="14" t="n"/>
      <c r="F9" s="14" t="n"/>
      <c r="G9" s="14" t="n"/>
      <c r="H9" s="14" t="n"/>
      <c r="I9" s="15">
        <f>PRODUCT(C9*E9)</f>
        <v/>
      </c>
      <c r="J9" s="15">
        <f>PRODUCT(I9)*E$202</f>
        <v/>
      </c>
      <c r="K9" s="22">
        <f>SUM(I9:J9)</f>
        <v/>
      </c>
      <c r="L9" s="22">
        <f>(K9/C9)</f>
        <v/>
      </c>
      <c r="M9" s="20" t="n"/>
      <c r="N9" s="20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29.25" customHeight="1" s="152">
      <c r="A10" s="19" t="inlineStr">
        <is>
          <t>1.31.13</t>
        </is>
      </c>
      <c r="B10" s="21" t="inlineStr">
        <is>
          <t>Project Coordination (Supervision)</t>
        </is>
      </c>
      <c r="C10" s="11" t="n"/>
      <c r="D10" s="12" t="inlineStr">
        <is>
          <t>each</t>
        </is>
      </c>
      <c r="E10" s="14" t="n"/>
      <c r="F10" s="14" t="n"/>
      <c r="G10" s="14" t="n"/>
      <c r="H10" s="14" t="n"/>
      <c r="I10" s="15">
        <f>PRODUCT(C10*E10)</f>
        <v/>
      </c>
      <c r="J10" s="15">
        <f>PRODUCT(I10)*E$202</f>
        <v/>
      </c>
      <c r="K10" s="22">
        <f>SUM(I10:J10)</f>
        <v/>
      </c>
      <c r="L10" s="22">
        <f>(K10/C10)</f>
        <v/>
      </c>
      <c r="M10" s="20" t="n"/>
      <c r="N10" s="20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29.25" customHeight="1" s="152">
      <c r="A11" s="19" t="inlineStr">
        <is>
          <t>1.33.13</t>
        </is>
      </c>
      <c r="B11" s="21" t="inlineStr">
        <is>
          <t>Builder's Risk Insurance</t>
        </is>
      </c>
      <c r="C11" s="11" t="n"/>
      <c r="D11" s="12" t="n"/>
      <c r="E11" s="14" t="n"/>
      <c r="F11" s="14" t="n"/>
      <c r="G11" s="14" t="n"/>
      <c r="H11" s="14" t="n"/>
      <c r="I11" s="15">
        <f>PRODUCT(C11*E11)</f>
        <v/>
      </c>
      <c r="J11" s="15">
        <f>PRODUCT(I11)*E$202</f>
        <v/>
      </c>
      <c r="K11" s="22">
        <f>SUM(I11:J11)</f>
        <v/>
      </c>
      <c r="L11" s="22">
        <f>(K11/C11)</f>
        <v/>
      </c>
      <c r="M11" s="20" t="n"/>
      <c r="N11" s="20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29.25" customHeight="1" s="152">
      <c r="A12" s="19" t="inlineStr">
        <is>
          <t>1.33.16</t>
        </is>
      </c>
      <c r="B12" s="21" t="inlineStr">
        <is>
          <t>Architectural Plans</t>
        </is>
      </c>
      <c r="C12" s="11" t="n"/>
      <c r="D12" s="12" t="inlineStr">
        <is>
          <t>each</t>
        </is>
      </c>
      <c r="E12" s="14" t="n"/>
      <c r="F12" s="14" t="n"/>
      <c r="G12" s="14" t="n"/>
      <c r="H12" s="14" t="n"/>
      <c r="I12" s="15">
        <f>PRODUCT(C12*E12)</f>
        <v/>
      </c>
      <c r="J12" s="15">
        <f>PRODUCT(I12)*E$202</f>
        <v/>
      </c>
      <c r="K12" s="22">
        <f>SUM(I12:J12)</f>
        <v/>
      </c>
      <c r="L12" s="22">
        <f>(K12/C12)</f>
        <v/>
      </c>
      <c r="M12" s="20" t="n"/>
      <c r="N12" s="20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29.25" customHeight="1" s="152">
      <c r="A13" s="19" t="inlineStr">
        <is>
          <t>1.41.23</t>
        </is>
      </c>
      <c r="B13" s="21" t="inlineStr">
        <is>
          <t>Waster/Sewer Tap Fees</t>
        </is>
      </c>
      <c r="C13" s="11" t="n"/>
      <c r="D13" s="12" t="n"/>
      <c r="E13" s="14" t="n"/>
      <c r="F13" s="14" t="n"/>
      <c r="G13" s="14" t="n"/>
      <c r="H13" s="14" t="n"/>
      <c r="I13" s="15">
        <f>PRODUCT(C13*E13)</f>
        <v/>
      </c>
      <c r="J13" s="15">
        <f>PRODUCT(I13)*E$202</f>
        <v/>
      </c>
      <c r="K13" s="22">
        <f>SUM(I13:J13)</f>
        <v/>
      </c>
      <c r="L13" s="22">
        <f>(K13/C13)</f>
        <v/>
      </c>
      <c r="M13" s="20" t="n"/>
      <c r="N13" s="20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29.25" customHeight="1" s="152">
      <c r="A14" s="19" t="inlineStr">
        <is>
          <t>1.41.26</t>
        </is>
      </c>
      <c r="B14" s="21" t="inlineStr">
        <is>
          <t>Building Permits</t>
        </is>
      </c>
      <c r="C14" s="11" t="n"/>
      <c r="D14" s="12" t="inlineStr">
        <is>
          <t>Each</t>
        </is>
      </c>
      <c r="E14" s="14" t="n"/>
      <c r="F14" s="14" t="n"/>
      <c r="G14" s="14" t="n"/>
      <c r="H14" s="14" t="n"/>
      <c r="I14" s="15">
        <f>PRODUCT(C14*E14)</f>
        <v/>
      </c>
      <c r="J14" s="15">
        <f>PRODUCT(I14)*E$202</f>
        <v/>
      </c>
      <c r="K14" s="22">
        <f>SUM(I14:J14)</f>
        <v/>
      </c>
      <c r="L14" s="22">
        <f>(K14/C14)</f>
        <v/>
      </c>
      <c r="M14" s="20" t="n"/>
      <c r="N14" s="20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29.25" customHeight="1" s="152">
      <c r="A15" s="19" t="inlineStr">
        <is>
          <t>1.51.13</t>
        </is>
      </c>
      <c r="B15" s="21" t="inlineStr">
        <is>
          <t>Temporary Power</t>
        </is>
      </c>
      <c r="C15" s="11" t="n"/>
      <c r="D15" s="12" t="inlineStr">
        <is>
          <t>Each</t>
        </is>
      </c>
      <c r="E15" s="14" t="n"/>
      <c r="F15" s="14" t="n"/>
      <c r="G15" s="14" t="n"/>
      <c r="H15" s="14" t="n"/>
      <c r="I15" s="15">
        <f>PRODUCT(C15*E15)</f>
        <v/>
      </c>
      <c r="J15" s="15">
        <f>PRODUCT(I15)*E$202</f>
        <v/>
      </c>
      <c r="K15" s="22">
        <f>SUM(I15:J15)</f>
        <v/>
      </c>
      <c r="L15" s="22">
        <f>(K15/C15)</f>
        <v/>
      </c>
      <c r="M15" s="20" t="n"/>
      <c r="N15" s="20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29.25" customHeight="1" s="152">
      <c r="A16" s="19" t="inlineStr">
        <is>
          <t>1.51.36</t>
        </is>
      </c>
      <c r="B16" s="21" t="inlineStr">
        <is>
          <t>Temporary Water</t>
        </is>
      </c>
      <c r="C16" s="11" t="n"/>
      <c r="D16" s="12" t="inlineStr">
        <is>
          <t>Each</t>
        </is>
      </c>
      <c r="E16" s="14" t="n"/>
      <c r="F16" s="14" t="n"/>
      <c r="G16" s="14" t="n"/>
      <c r="H16" s="14" t="n"/>
      <c r="I16" s="15">
        <f>PRODUCT(C16*E16)</f>
        <v/>
      </c>
      <c r="J16" s="15">
        <f>PRODUCT(I16)*E$202</f>
        <v/>
      </c>
      <c r="K16" s="22">
        <f>SUM(I16:J16)</f>
        <v/>
      </c>
      <c r="L16" s="22">
        <f>(K16/C16)</f>
        <v/>
      </c>
      <c r="M16" s="20" t="n"/>
      <c r="N16" s="20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29.25" customHeight="1" s="152">
      <c r="A17" s="19" t="inlineStr">
        <is>
          <t>1.51.29</t>
        </is>
      </c>
      <c r="B17" s="21" t="inlineStr">
        <is>
          <t>Temporary Gas</t>
        </is>
      </c>
      <c r="C17" s="11" t="n"/>
      <c r="D17" s="12" t="n"/>
      <c r="E17" s="14" t="n"/>
      <c r="F17" s="14" t="n"/>
      <c r="G17" s="14" t="n"/>
      <c r="H17" s="14" t="n"/>
      <c r="I17" s="15">
        <f>PRODUCT(C17*E17)</f>
        <v/>
      </c>
      <c r="J17" s="15">
        <f>PRODUCT(I17)*E$202</f>
        <v/>
      </c>
      <c r="K17" s="22">
        <f>SUM(I17:J17)</f>
        <v/>
      </c>
      <c r="L17" s="22">
        <f>(K17/C17)</f>
        <v/>
      </c>
      <c r="M17" s="20" t="n"/>
      <c r="N17" s="20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29.25" customHeight="1" s="152">
      <c r="A18" s="19" t="inlineStr">
        <is>
          <t>1.52.19</t>
        </is>
      </c>
      <c r="B18" s="21" t="inlineStr">
        <is>
          <t>Sanitary Facilities (Port-A-Johns)</t>
        </is>
      </c>
      <c r="C18" s="11" t="n"/>
      <c r="D18" s="12" t="inlineStr">
        <is>
          <t>each</t>
        </is>
      </c>
      <c r="E18" s="14" t="n"/>
      <c r="F18" s="14" t="n"/>
      <c r="G18" s="14" t="n"/>
      <c r="H18" s="14" t="n"/>
      <c r="I18" s="15">
        <f>PRODUCT(C18*E18)</f>
        <v/>
      </c>
      <c r="J18" s="15">
        <f>PRODUCT(I18)*E$202</f>
        <v/>
      </c>
      <c r="K18" s="22">
        <f>SUM(I18:J18)</f>
        <v/>
      </c>
      <c r="L18" s="22">
        <f>(K18/C18)</f>
        <v/>
      </c>
      <c r="M18" s="20" t="n"/>
      <c r="N18" s="20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29.25" customHeight="1" s="152">
      <c r="A19" s="19" t="inlineStr">
        <is>
          <t>1.71.13</t>
        </is>
      </c>
      <c r="B19" s="21" t="inlineStr">
        <is>
          <t>Mobilization</t>
        </is>
      </c>
      <c r="C19" s="11" t="n"/>
      <c r="D19" s="12" t="n"/>
      <c r="E19" s="14" t="n"/>
      <c r="F19" s="14" t="n"/>
      <c r="G19" s="14" t="n"/>
      <c r="H19" s="14" t="n"/>
      <c r="I19" s="15">
        <f>PRODUCT(C19*E19)</f>
        <v/>
      </c>
      <c r="J19" s="15">
        <f>PRODUCT(I19)*E$202</f>
        <v/>
      </c>
      <c r="K19" s="22">
        <f>SUM(I19:J19)</f>
        <v/>
      </c>
      <c r="L19" s="22">
        <f>(K19/C19)</f>
        <v/>
      </c>
      <c r="M19" s="20" t="n"/>
      <c r="N19" s="20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29.25" customHeight="1" s="152">
      <c r="A20" s="19" t="inlineStr">
        <is>
          <t>1.71.23.13</t>
        </is>
      </c>
      <c r="B20" s="21" t="inlineStr">
        <is>
          <t>Construction Staking</t>
        </is>
      </c>
      <c r="C20" s="11" t="n"/>
      <c r="D20" s="12" t="inlineStr">
        <is>
          <t>Sqft</t>
        </is>
      </c>
      <c r="E20" s="14" t="n"/>
      <c r="F20" s="14" t="n"/>
      <c r="G20" s="14" t="n"/>
      <c r="H20" s="14" t="n"/>
      <c r="I20" s="15">
        <f>PRODUCT(C20*E20)</f>
        <v/>
      </c>
      <c r="J20" s="15">
        <f>PRODUCT(I20)*E$202</f>
        <v/>
      </c>
      <c r="K20" s="22">
        <f>SUM(I20:J20)</f>
        <v/>
      </c>
      <c r="L20" s="22">
        <f>(K20/C20)</f>
        <v/>
      </c>
      <c r="M20" s="20" t="n"/>
      <c r="N20" s="20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29.25" customHeight="1" s="152">
      <c r="A21" s="19" t="inlineStr">
        <is>
          <t>1.74.19</t>
        </is>
      </c>
      <c r="B21" s="21" t="inlineStr">
        <is>
          <t>Waste Management</t>
        </is>
      </c>
      <c r="C21" s="11" t="n"/>
      <c r="D21" s="12" t="inlineStr">
        <is>
          <t>Each</t>
        </is>
      </c>
      <c r="E21" s="14" t="n"/>
      <c r="F21" s="14" t="n"/>
      <c r="G21" s="14" t="n"/>
      <c r="H21" s="14" t="n"/>
      <c r="I21" s="15">
        <f>PRODUCT(C21*E21)</f>
        <v/>
      </c>
      <c r="J21" s="15">
        <f>PRODUCT(I21)*E$202</f>
        <v/>
      </c>
      <c r="K21" s="22">
        <f>SUM(I21:J21)</f>
        <v/>
      </c>
      <c r="L21" s="22">
        <f>(K21/C21)</f>
        <v/>
      </c>
      <c r="M21" s="20" t="n"/>
      <c r="N21" s="20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29.25" customHeight="1" s="152">
      <c r="A22" s="19" t="inlineStr">
        <is>
          <t>1.74.13</t>
        </is>
      </c>
      <c r="B22" s="21" t="inlineStr">
        <is>
          <t>Progess Cleaning</t>
        </is>
      </c>
      <c r="C22" s="11" t="n"/>
      <c r="D22" s="12" t="inlineStr">
        <is>
          <t>each</t>
        </is>
      </c>
      <c r="E22" s="14" t="n"/>
      <c r="F22" s="14" t="n"/>
      <c r="G22" s="14" t="n"/>
      <c r="H22" s="14" t="n"/>
      <c r="I22" s="15">
        <f>PRODUCT(C22*E22)</f>
        <v/>
      </c>
      <c r="J22" s="15">
        <f>PRODUCT(I22)*E$202</f>
        <v/>
      </c>
      <c r="K22" s="22">
        <f>SUM(I22:J22)</f>
        <v/>
      </c>
      <c r="L22" s="22">
        <f>(K22/C22)</f>
        <v/>
      </c>
      <c r="M22" s="20" t="n"/>
      <c r="N22" s="20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29.25" customHeight="1" s="152">
      <c r="A23" s="19" t="inlineStr">
        <is>
          <t>1.74.23</t>
        </is>
      </c>
      <c r="B23" s="21" t="inlineStr">
        <is>
          <t>Final Cleaning</t>
        </is>
      </c>
      <c r="C23" s="11" t="n"/>
      <c r="D23" s="12" t="inlineStr">
        <is>
          <t>each</t>
        </is>
      </c>
      <c r="E23" s="14" t="n"/>
      <c r="F23" s="14" t="n"/>
      <c r="G23" s="14" t="n"/>
      <c r="H23" s="14" t="n"/>
      <c r="I23" s="15">
        <f>PRODUCT(C23*E23)</f>
        <v/>
      </c>
      <c r="J23" s="15">
        <f>PRODUCT(I23)*E$202</f>
        <v/>
      </c>
      <c r="K23" s="22">
        <f>SUM(I23:J23)</f>
        <v/>
      </c>
      <c r="L23" s="22">
        <f>(K23/C23)</f>
        <v/>
      </c>
      <c r="M23" s="20" t="n"/>
      <c r="N23" s="20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29.25" customHeight="1" s="152">
      <c r="A24" s="19" t="n"/>
      <c r="B24" s="23" t="n"/>
      <c r="C24" s="24" t="n"/>
      <c r="D24" s="25" t="n"/>
      <c r="E24" s="26" t="n"/>
      <c r="F24" s="26">
        <f>SUM(F7:F23)</f>
        <v/>
      </c>
      <c r="G24" s="26">
        <f>SUM(G7:G23)</f>
        <v/>
      </c>
      <c r="H24" s="26">
        <f>SUM(H7:H23)</f>
        <v/>
      </c>
      <c r="I24" s="26">
        <f>SUM(I7:I23)</f>
        <v/>
      </c>
      <c r="J24" s="26">
        <f>SUM(J7:J23)</f>
        <v/>
      </c>
      <c r="K24" s="26">
        <f>SUM(K7:K23)</f>
        <v/>
      </c>
      <c r="L24" s="26" t="n"/>
      <c r="M24" s="26" t="n">
        <v>6750</v>
      </c>
      <c r="N24" s="2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29.25" customHeight="1" s="152">
      <c r="A25" s="19" t="n"/>
      <c r="B25" s="27" t="inlineStr">
        <is>
          <t>Division 2:  Existing Conditions</t>
        </is>
      </c>
      <c r="C25" s="11" t="n"/>
      <c r="D25" s="12" t="n"/>
      <c r="E25" s="14" t="n"/>
      <c r="F25" s="14" t="n"/>
      <c r="G25" s="14" t="n"/>
      <c r="H25" s="14" t="n"/>
      <c r="I25" s="15" t="n"/>
      <c r="J25" s="15" t="n"/>
      <c r="K25" s="22" t="n"/>
      <c r="L25" s="22" t="n"/>
      <c r="M25" s="20" t="n"/>
      <c r="N25" s="20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29.25" customHeight="1" s="152">
      <c r="A26" s="19" t="inlineStr">
        <is>
          <t>2.21.13</t>
        </is>
      </c>
      <c r="B26" s="21" t="inlineStr">
        <is>
          <t>Engineering (Site Surveys)</t>
        </is>
      </c>
      <c r="C26" s="11" t="n"/>
      <c r="D26" s="12" t="inlineStr">
        <is>
          <t>Each</t>
        </is>
      </c>
      <c r="E26" s="14" t="n"/>
      <c r="F26" s="14" t="n"/>
      <c r="G26" s="14" t="n"/>
      <c r="H26" s="14" t="n"/>
      <c r="I26" s="15">
        <f>PRODUCT(C26*E26)</f>
        <v/>
      </c>
      <c r="J26" s="15">
        <f>PRODUCT(I26)*E$202</f>
        <v/>
      </c>
      <c r="K26" s="22">
        <f>SUM(I26:J26)</f>
        <v/>
      </c>
      <c r="L26" s="22">
        <f>(K26/C26)</f>
        <v/>
      </c>
      <c r="M26" s="20" t="n"/>
      <c r="N26" s="20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29.25" customHeight="1" s="152">
      <c r="A27" s="19" t="inlineStr">
        <is>
          <t>2.26.23</t>
        </is>
      </c>
      <c r="B27" s="21" t="inlineStr">
        <is>
          <t>Asbestos Inspection</t>
        </is>
      </c>
      <c r="C27" s="11" t="n"/>
      <c r="D27" s="12" t="n"/>
      <c r="E27" s="14" t="n"/>
      <c r="F27" s="14" t="n"/>
      <c r="G27" s="14" t="n"/>
      <c r="H27" s="14" t="n"/>
      <c r="I27" s="15">
        <f>PRODUCT(C27*E27)</f>
        <v/>
      </c>
      <c r="J27" s="15">
        <f>PRODUCT(I27)*E$202</f>
        <v/>
      </c>
      <c r="K27" s="22">
        <f>SUM(I27:J27)</f>
        <v/>
      </c>
      <c r="L27" s="22">
        <f>(K27/C27)</f>
        <v/>
      </c>
      <c r="M27" s="20" t="n"/>
      <c r="N27" s="20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29.25" customHeight="1" s="152">
      <c r="A28" s="19" t="inlineStr">
        <is>
          <t>2.41.13.13</t>
        </is>
      </c>
      <c r="B28" s="21" t="inlineStr">
        <is>
          <t>Paving Removal</t>
        </is>
      </c>
      <c r="C28" s="11" t="n"/>
      <c r="D28" s="12" t="n"/>
      <c r="E28" s="14" t="n"/>
      <c r="F28" s="14" t="n"/>
      <c r="G28" s="14" t="n"/>
      <c r="H28" s="14" t="n"/>
      <c r="I28" s="15">
        <f>PRODUCT(C28*E28)</f>
        <v/>
      </c>
      <c r="J28" s="15">
        <f>PRODUCT(I28)*E$202</f>
        <v/>
      </c>
      <c r="K28" s="22">
        <f>SUM(I28:J28)</f>
        <v/>
      </c>
      <c r="L28" s="22">
        <f>(K28/C28)</f>
        <v/>
      </c>
      <c r="M28" s="20" t="n"/>
      <c r="N28" s="20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29.25" customHeight="1" s="152">
      <c r="A29" s="19" t="inlineStr">
        <is>
          <t>2.41.13.23</t>
        </is>
      </c>
      <c r="B29" s="21" t="inlineStr">
        <is>
          <t>Utility Line Removal</t>
        </is>
      </c>
      <c r="C29" s="11" t="n"/>
      <c r="D29" s="12" t="n"/>
      <c r="E29" s="14" t="n"/>
      <c r="F29" s="14" t="n"/>
      <c r="G29" s="14" t="n"/>
      <c r="H29" s="14" t="n"/>
      <c r="I29" s="15">
        <f>PRODUCT(C29*E29)</f>
        <v/>
      </c>
      <c r="J29" s="15">
        <f>PRODUCT(I29)*E$202</f>
        <v/>
      </c>
      <c r="K29" s="22">
        <f>SUM(I29:J29)</f>
        <v/>
      </c>
      <c r="L29" s="22">
        <f>(K29/C29)</f>
        <v/>
      </c>
      <c r="M29" s="20" t="n"/>
      <c r="N29" s="20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29.25" customHeight="1" s="152">
      <c r="A30" s="19" t="inlineStr">
        <is>
          <t>2.41.16</t>
        </is>
      </c>
      <c r="B30" s="21" t="inlineStr">
        <is>
          <t>Structure Demolition</t>
        </is>
      </c>
      <c r="C30" s="11" t="n"/>
      <c r="D30" s="12" t="n"/>
      <c r="E30" s="14" t="n"/>
      <c r="F30" s="14" t="n"/>
      <c r="G30" s="14" t="n"/>
      <c r="H30" s="14" t="n"/>
      <c r="I30" s="15">
        <f>PRODUCT(C30*E30)</f>
        <v/>
      </c>
      <c r="J30" s="15">
        <f>PRODUCT(I30)*E$202</f>
        <v/>
      </c>
      <c r="K30" s="22">
        <f>SUM(I30:J30)</f>
        <v/>
      </c>
      <c r="L30" s="22">
        <f>(K30/C30)</f>
        <v/>
      </c>
      <c r="M30" s="20" t="n"/>
      <c r="N30" s="20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29.25" customHeight="1" s="152">
      <c r="A31" s="19" t="n"/>
      <c r="B31" s="23" t="n"/>
      <c r="C31" s="24" t="n"/>
      <c r="D31" s="25" t="n"/>
      <c r="E31" s="26" t="n"/>
      <c r="F31" s="26">
        <f>SUM(F26:F30)</f>
        <v/>
      </c>
      <c r="G31" s="26">
        <f>SUM(G26:G30)</f>
        <v/>
      </c>
      <c r="H31" s="26">
        <f>SUM(H26:H30)</f>
        <v/>
      </c>
      <c r="I31" s="26">
        <f>SUM(I26:I30)</f>
        <v/>
      </c>
      <c r="J31" s="26">
        <f>SUM(J26:J30)</f>
        <v/>
      </c>
      <c r="K31" s="26">
        <f>SUM(K26:K30)</f>
        <v/>
      </c>
      <c r="L31" s="26" t="n"/>
      <c r="M31" s="28" t="n"/>
      <c r="N31" s="28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29.25" customHeight="1" s="152">
      <c r="A32" s="19" t="n"/>
      <c r="B32" s="27" t="inlineStr">
        <is>
          <t>Division 3:  Concrete</t>
        </is>
      </c>
      <c r="C32" s="11" t="n"/>
      <c r="D32" s="12" t="n"/>
      <c r="E32" s="14" t="n"/>
      <c r="F32" s="14" t="n"/>
      <c r="G32" s="14" t="n"/>
      <c r="H32" s="29" t="n"/>
      <c r="I32" s="15" t="n"/>
      <c r="J32" s="15" t="n"/>
      <c r="K32" s="22" t="n"/>
      <c r="L32" s="22" t="n"/>
      <c r="M32" s="20" t="n"/>
      <c r="N32" s="20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29.25" customHeight="1" s="152">
      <c r="A33" s="19" t="n">
        <v>3.31</v>
      </c>
      <c r="B33" s="21" t="inlineStr">
        <is>
          <t>Footing Material</t>
        </is>
      </c>
      <c r="C33" s="11" t="n"/>
      <c r="D33" s="12" t="inlineStr">
        <is>
          <t>Lft</t>
        </is>
      </c>
      <c r="E33" s="14" t="n"/>
      <c r="F33" s="14" t="n"/>
      <c r="G33" s="14" t="n"/>
      <c r="H33" s="14" t="n"/>
      <c r="I33" s="15">
        <f>PRODUCT(C33*E33)</f>
        <v/>
      </c>
      <c r="J33" s="15">
        <f>PRODUCT(I33)*E$202</f>
        <v/>
      </c>
      <c r="K33" s="22">
        <f>SUM(I33:J33)</f>
        <v/>
      </c>
      <c r="L33" s="22">
        <f>(K33/C33)</f>
        <v/>
      </c>
      <c r="M33" s="20" t="n"/>
      <c r="N33" s="20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29.25" customHeight="1" s="152">
      <c r="A34" s="19" t="n">
        <v>3.31</v>
      </c>
      <c r="B34" s="21" t="inlineStr">
        <is>
          <t>Footing Labor</t>
        </is>
      </c>
      <c r="C34" s="11" t="n"/>
      <c r="D34" s="12" t="inlineStr">
        <is>
          <t>Lft</t>
        </is>
      </c>
      <c r="E34" s="14" t="n"/>
      <c r="F34" s="14" t="n"/>
      <c r="G34" s="14" t="n"/>
      <c r="H34" s="14" t="n"/>
      <c r="I34" s="15">
        <f>PRODUCT(C34*E34)</f>
        <v/>
      </c>
      <c r="J34" s="15">
        <f>PRODUCT(I34)*E$202</f>
        <v/>
      </c>
      <c r="K34" s="22">
        <f>SUM(I34:J34)</f>
        <v/>
      </c>
      <c r="L34" s="22">
        <f>(K34/C34)</f>
        <v/>
      </c>
      <c r="M34" s="20" t="n"/>
      <c r="N34" s="20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29.25" customHeight="1" s="152">
      <c r="A35" s="19" t="n">
        <v>3.31</v>
      </c>
      <c r="B35" s="21" t="inlineStr">
        <is>
          <t>Slab Material</t>
        </is>
      </c>
      <c r="C35" s="11" t="n"/>
      <c r="D35" s="12" t="inlineStr">
        <is>
          <t>Yard</t>
        </is>
      </c>
      <c r="E35" s="14" t="n"/>
      <c r="F35" s="14" t="n"/>
      <c r="G35" s="14" t="n"/>
      <c r="H35" s="14" t="n"/>
      <c r="I35" s="15">
        <f>PRODUCT(C35*E35)</f>
        <v/>
      </c>
      <c r="J35" s="15">
        <f>PRODUCT(I35)*E$202</f>
        <v/>
      </c>
      <c r="K35" s="22">
        <f>SUM(I35:J35)</f>
        <v/>
      </c>
      <c r="L35" s="22">
        <f>(K35/C35)</f>
        <v/>
      </c>
      <c r="M35" s="20" t="n"/>
      <c r="N35" s="20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29.25" customHeight="1" s="152">
      <c r="A36" s="19" t="n">
        <v>3.31</v>
      </c>
      <c r="B36" s="21" t="inlineStr">
        <is>
          <t>Slab Labor</t>
        </is>
      </c>
      <c r="C36" s="11" t="n"/>
      <c r="D36" s="12" t="inlineStr">
        <is>
          <t>Sqft</t>
        </is>
      </c>
      <c r="E36" s="14" t="n"/>
      <c r="F36" s="14" t="n"/>
      <c r="G36" s="14" t="n"/>
      <c r="H36" s="14" t="n"/>
      <c r="I36" s="15">
        <f>PRODUCT(C36*E36)</f>
        <v/>
      </c>
      <c r="J36" s="15">
        <f>PRODUCT(I36)*E$202</f>
        <v/>
      </c>
      <c r="K36" s="22">
        <f>SUM(I36:J36)</f>
        <v/>
      </c>
      <c r="L36" s="22">
        <f>(K36/C36)</f>
        <v/>
      </c>
      <c r="M36" s="20" t="n"/>
      <c r="N36" s="20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29.25" customHeight="1" s="152">
      <c r="A37" s="19" t="n">
        <v>3.31</v>
      </c>
      <c r="B37" s="21" t="inlineStr">
        <is>
          <t>Porch Material</t>
        </is>
      </c>
      <c r="C37" s="11" t="n"/>
      <c r="D37" s="12" t="n"/>
      <c r="E37" s="14" t="n"/>
      <c r="F37" s="14" t="n"/>
      <c r="G37" s="14" t="n"/>
      <c r="H37" s="14" t="n"/>
      <c r="I37" s="15">
        <f>PRODUCT(C37*E37)</f>
        <v/>
      </c>
      <c r="J37" s="15">
        <f>PRODUCT(I37)*E$202</f>
        <v/>
      </c>
      <c r="K37" s="22">
        <f>SUM(I37:J37)</f>
        <v/>
      </c>
      <c r="L37" s="22">
        <f>(K37/C37)</f>
        <v/>
      </c>
      <c r="M37" s="20" t="n"/>
      <c r="N37" s="20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29.25" customHeight="1" s="152">
      <c r="A38" s="19" t="n">
        <v>3.31</v>
      </c>
      <c r="B38" s="21" t="inlineStr">
        <is>
          <t>Porch Labor</t>
        </is>
      </c>
      <c r="C38" s="11" t="n"/>
      <c r="D38" s="12" t="n"/>
      <c r="E38" s="14" t="n"/>
      <c r="F38" s="14" t="n"/>
      <c r="G38" s="14" t="n"/>
      <c r="H38" s="14" t="n"/>
      <c r="I38" s="15">
        <f>PRODUCT(C38*E38)</f>
        <v/>
      </c>
      <c r="J38" s="15">
        <f>PRODUCT(I38)*E$202</f>
        <v/>
      </c>
      <c r="K38" s="22">
        <f>SUM(I38:J38)</f>
        <v/>
      </c>
      <c r="L38" s="22">
        <f>(K38/C38)</f>
        <v/>
      </c>
      <c r="M38" s="20" t="n"/>
      <c r="N38" s="20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29.25" customHeight="1" s="152">
      <c r="A39" s="19" t="inlineStr">
        <is>
          <t>3.11.13</t>
        </is>
      </c>
      <c r="B39" s="21" t="inlineStr">
        <is>
          <t>Concrete Forming Material (Includes Reinforcement)</t>
        </is>
      </c>
      <c r="C39" s="11" t="n"/>
      <c r="D39" s="12" t="inlineStr">
        <is>
          <t>SQFT</t>
        </is>
      </c>
      <c r="E39" s="14" t="n"/>
      <c r="F39" s="14" t="n"/>
      <c r="G39" s="14" t="n"/>
      <c r="H39" s="14" t="n"/>
      <c r="I39" s="15">
        <f>PRODUCT(C39*E39)</f>
        <v/>
      </c>
      <c r="J39" s="15">
        <f>PRODUCT(I39)*E$202</f>
        <v/>
      </c>
      <c r="K39" s="22">
        <f>SUM(I39:J39)</f>
        <v/>
      </c>
      <c r="L39" s="22">
        <f>(K39/C39)</f>
        <v/>
      </c>
      <c r="M39" s="20" t="n"/>
      <c r="N39" s="20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29.25" customHeight="1" s="152">
      <c r="A40" s="19" t="n"/>
      <c r="B40" s="23" t="n"/>
      <c r="C40" s="24" t="n"/>
      <c r="D40" s="25" t="n"/>
      <c r="E40" s="26" t="n"/>
      <c r="F40" s="26">
        <f>SUM(F33:F39)</f>
        <v/>
      </c>
      <c r="G40" s="26">
        <f>SUM(G33:G39)</f>
        <v/>
      </c>
      <c r="H40" s="26">
        <f>SUM(H33:H39)</f>
        <v/>
      </c>
      <c r="I40" s="26">
        <f>SUM(I33:I39)</f>
        <v/>
      </c>
      <c r="J40" s="26">
        <f>SUM(J33:J39)</f>
        <v/>
      </c>
      <c r="K40" s="26">
        <f>SUM(K33:K39)</f>
        <v/>
      </c>
      <c r="L40" s="26" t="n"/>
      <c r="M40" s="28" t="n"/>
      <c r="N40" s="28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29.25" customHeight="1" s="152">
      <c r="A41" s="19" t="n"/>
      <c r="B41" s="27" t="inlineStr">
        <is>
          <t>Division 4:  Masonry</t>
        </is>
      </c>
      <c r="C41" s="11" t="n"/>
      <c r="D41" s="12" t="n"/>
      <c r="E41" s="14" t="n"/>
      <c r="F41" s="14" t="n"/>
      <c r="G41" s="14" t="n"/>
      <c r="H41" s="14" t="n"/>
      <c r="I41" s="15" t="n"/>
      <c r="J41" s="15" t="n"/>
      <c r="K41" s="22" t="n"/>
      <c r="L41" s="22" t="n"/>
      <c r="M41" s="20" t="n"/>
      <c r="N41" s="20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29.25" customHeight="1" s="152">
      <c r="A42" s="30" t="inlineStr">
        <is>
          <t>4.05.13</t>
        </is>
      </c>
      <c r="B42" s="21" t="inlineStr">
        <is>
          <t>Masonry Sand</t>
        </is>
      </c>
      <c r="C42" s="11" t="n"/>
      <c r="D42" s="12" t="inlineStr">
        <is>
          <t>Yards</t>
        </is>
      </c>
      <c r="E42" s="14" t="n"/>
      <c r="F42" s="14" t="n"/>
      <c r="G42" s="14" t="n"/>
      <c r="H42" s="14" t="n"/>
      <c r="I42" s="15">
        <f>PRODUCT(C42*E42)</f>
        <v/>
      </c>
      <c r="J42" s="15">
        <f>PRODUCT(I42)*E$202</f>
        <v/>
      </c>
      <c r="K42" s="22">
        <f>SUM(I42:J42)</f>
        <v/>
      </c>
      <c r="L42" s="22">
        <f>(K42/C42)</f>
        <v/>
      </c>
      <c r="M42" s="31" t="n"/>
      <c r="N42" s="31" t="n"/>
      <c r="O42" s="32" t="n"/>
      <c r="P42" s="32" t="n"/>
      <c r="Q42" s="32" t="n"/>
      <c r="R42" s="32" t="n"/>
      <c r="S42" s="32" t="n"/>
      <c r="T42" s="32" t="n"/>
      <c r="U42" s="32" t="n"/>
      <c r="V42" s="32" t="n"/>
      <c r="W42" s="32" t="n"/>
      <c r="X42" s="32" t="n"/>
      <c r="Y42" s="32" t="n"/>
      <c r="Z42" s="32" t="n"/>
    </row>
    <row r="43" ht="29.25" customHeight="1" s="152">
      <c r="A43" s="19" t="inlineStr">
        <is>
          <t>4.21.13</t>
        </is>
      </c>
      <c r="B43" s="21" t="inlineStr">
        <is>
          <t>Exterior Brick Labor</t>
        </is>
      </c>
      <c r="C43" s="33" t="n"/>
      <c r="D43" s="12" t="inlineStr">
        <is>
          <t>per thousand</t>
        </is>
      </c>
      <c r="E43" s="14" t="n"/>
      <c r="F43" s="14" t="n"/>
      <c r="G43" s="14" t="n"/>
      <c r="H43" s="14" t="n"/>
      <c r="I43" s="15">
        <f>PRODUCT(C43*E43)</f>
        <v/>
      </c>
      <c r="J43" s="15">
        <f>PRODUCT(I43)*E$202</f>
        <v/>
      </c>
      <c r="K43" s="22">
        <f>SUM(I43:J43)</f>
        <v/>
      </c>
      <c r="L43" s="22">
        <f>(K43/C43)</f>
        <v/>
      </c>
      <c r="M43" s="20" t="n"/>
      <c r="N43" s="20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29.25" customHeight="1" s="152">
      <c r="A44" s="19" t="inlineStr">
        <is>
          <t>4.21.13</t>
        </is>
      </c>
      <c r="B44" s="21" t="inlineStr">
        <is>
          <t>Exterior Brick Material</t>
        </is>
      </c>
      <c r="C44" s="33" t="n"/>
      <c r="D44" s="12" t="inlineStr">
        <is>
          <t>each</t>
        </is>
      </c>
      <c r="E44" s="14" t="n"/>
      <c r="F44" s="14" t="n"/>
      <c r="G44" s="14" t="n"/>
      <c r="H44" s="14" t="n"/>
      <c r="I44" s="15">
        <f>PRODUCT(C44*E44)</f>
        <v/>
      </c>
      <c r="J44" s="15">
        <f>PRODUCT(I44)*E$202</f>
        <v/>
      </c>
      <c r="K44" s="22">
        <f>SUM(I44:J44)</f>
        <v/>
      </c>
      <c r="L44" s="22">
        <f>(K44/C44)</f>
        <v/>
      </c>
      <c r="M44" s="20" t="n"/>
      <c r="N44" s="20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29.25" customHeight="1" s="152">
      <c r="A45" s="19" t="inlineStr">
        <is>
          <t>4.21.13</t>
        </is>
      </c>
      <c r="B45" s="34" t="inlineStr">
        <is>
          <t>Interior Brick Accent Material&amp;Labor</t>
        </is>
      </c>
      <c r="C45" s="11" t="n"/>
      <c r="D45" s="12" t="n"/>
      <c r="E45" s="14" t="n"/>
      <c r="F45" s="14" t="n"/>
      <c r="G45" s="14" t="n"/>
      <c r="H45" s="14" t="n"/>
      <c r="I45" s="15">
        <f>PRODUCT(C45*E45)</f>
        <v/>
      </c>
      <c r="J45" s="15">
        <f>PRODUCT(I45)*E$202</f>
        <v/>
      </c>
      <c r="K45" s="22">
        <f>SUM(I45:J45)</f>
        <v/>
      </c>
      <c r="L45" s="22">
        <f>(K45/C45)</f>
        <v/>
      </c>
      <c r="M45" s="20" t="n"/>
      <c r="N45" s="20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29.25" customHeight="1" s="152">
      <c r="A46" s="19" t="inlineStr">
        <is>
          <t>4.21.13</t>
        </is>
      </c>
      <c r="B46" s="34" t="inlineStr">
        <is>
          <t>Interior Brick Accent Material&amp;Labor</t>
        </is>
      </c>
      <c r="C46" s="11" t="n"/>
      <c r="D46" s="12" t="n"/>
      <c r="E46" s="14" t="n"/>
      <c r="F46" s="14" t="n"/>
      <c r="G46" s="14" t="n"/>
      <c r="H46" s="14" t="n"/>
      <c r="I46" s="15">
        <f>PRODUCT(C46*E46)</f>
        <v/>
      </c>
      <c r="J46" s="15">
        <f>PRODUCT(I46)*E$202</f>
        <v/>
      </c>
      <c r="K46" s="22">
        <f>SUM(I46:J46)</f>
        <v/>
      </c>
      <c r="L46" s="22">
        <f>(K46/C46)</f>
        <v/>
      </c>
      <c r="M46" s="20" t="n"/>
      <c r="N46" s="20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29.25" customHeight="1" s="152">
      <c r="A47" s="19" t="n">
        <v>4.22</v>
      </c>
      <c r="B47" s="21" t="inlineStr">
        <is>
          <t>Block Labor</t>
        </is>
      </c>
      <c r="C47" s="11" t="n"/>
      <c r="D47" s="12" t="inlineStr">
        <is>
          <t>per block</t>
        </is>
      </c>
      <c r="E47" s="14" t="n"/>
      <c r="F47" s="14" t="n"/>
      <c r="G47" s="14" t="n"/>
      <c r="H47" s="14" t="n"/>
      <c r="I47" s="15">
        <f>PRODUCT(C47*E47)</f>
        <v/>
      </c>
      <c r="J47" s="15">
        <f>PRODUCT(I47)*E$202</f>
        <v/>
      </c>
      <c r="K47" s="22">
        <f>SUM(I47:J47)</f>
        <v/>
      </c>
      <c r="L47" s="22">
        <f>(K47/C47)</f>
        <v/>
      </c>
      <c r="M47" s="20" t="n"/>
      <c r="N47" s="20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29.25" customHeight="1" s="152">
      <c r="A48" s="19" t="n">
        <v>4.22</v>
      </c>
      <c r="B48" s="21" t="inlineStr">
        <is>
          <t>Block Material</t>
        </is>
      </c>
      <c r="C48" s="11" t="n"/>
      <c r="D48" s="12" t="inlineStr">
        <is>
          <t>per block</t>
        </is>
      </c>
      <c r="E48" s="14" t="n"/>
      <c r="F48" s="14" t="n"/>
      <c r="G48" s="14" t="n"/>
      <c r="H48" s="14" t="n"/>
      <c r="I48" s="15">
        <f>PRODUCT(C48*E48)</f>
        <v/>
      </c>
      <c r="J48" s="15">
        <f>PRODUCT(I48)*E$202</f>
        <v/>
      </c>
      <c r="K48" s="22">
        <f>SUM(I48:J48)</f>
        <v/>
      </c>
      <c r="L48" s="22">
        <f>(K48/C48)</f>
        <v/>
      </c>
      <c r="M48" s="20" t="n"/>
      <c r="N48" s="20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29.25" customHeight="1" s="152">
      <c r="A49" s="19" t="n">
        <v>4.43</v>
      </c>
      <c r="B49" s="21" t="inlineStr">
        <is>
          <t>Pump Truck</t>
        </is>
      </c>
      <c r="C49" s="11" t="n"/>
      <c r="D49" s="12" t="inlineStr">
        <is>
          <t>each</t>
        </is>
      </c>
      <c r="E49" s="14" t="n"/>
      <c r="F49" s="14" t="n"/>
      <c r="G49" s="14" t="n"/>
      <c r="H49" s="14" t="n"/>
      <c r="I49" s="15">
        <f>PRODUCT(C49*E49)</f>
        <v/>
      </c>
      <c r="J49" s="15">
        <f>PRODUCT(I49)*E$202</f>
        <v/>
      </c>
      <c r="K49" s="22">
        <f>SUM(I49:J49)</f>
        <v/>
      </c>
      <c r="L49" s="22">
        <f>(K49/C49)</f>
        <v/>
      </c>
      <c r="M49" s="20" t="n"/>
      <c r="N49" s="20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29.25" customHeight="1" s="152">
      <c r="A50" s="19" t="n">
        <v>4.43</v>
      </c>
      <c r="B50" s="35" t="inlineStr">
        <is>
          <t>Stone Material</t>
        </is>
      </c>
      <c r="C50" s="11" t="n"/>
      <c r="D50" s="12" t="inlineStr">
        <is>
          <t>per stone</t>
        </is>
      </c>
      <c r="E50" s="14" t="n"/>
      <c r="F50" s="14" t="n"/>
      <c r="G50" s="14" t="n"/>
      <c r="H50" s="14" t="n"/>
      <c r="I50" s="15">
        <f>PRODUCT(C50*E50)</f>
        <v/>
      </c>
      <c r="J50" s="15">
        <f>PRODUCT(I50)*E$202</f>
        <v/>
      </c>
      <c r="K50" s="22">
        <f>SUM(I50:J50)</f>
        <v/>
      </c>
      <c r="L50" s="22">
        <f>(K50/C50)</f>
        <v/>
      </c>
      <c r="M50" s="20" t="n"/>
      <c r="N50" s="20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29.25" customHeight="1" s="152">
      <c r="A51" s="19" t="n"/>
      <c r="B51" s="23" t="n"/>
      <c r="C51" s="24" t="n"/>
      <c r="D51" s="25" t="n"/>
      <c r="E51" s="26" t="n"/>
      <c r="F51" s="26">
        <f>SUM(F42:F50)</f>
        <v/>
      </c>
      <c r="G51" s="26">
        <f>SUM(G42:G50)</f>
        <v/>
      </c>
      <c r="H51" s="26">
        <f>SUM(H42:H50)</f>
        <v/>
      </c>
      <c r="I51" s="26">
        <f>SUM(I42:I50)</f>
        <v/>
      </c>
      <c r="J51" s="26">
        <f>SUM(J42:J50)</f>
        <v/>
      </c>
      <c r="K51" s="26">
        <f>SUM(K42:K50)</f>
        <v/>
      </c>
      <c r="L51" s="26" t="n"/>
      <c r="M51" s="28" t="n"/>
      <c r="N51" s="28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29.25" customHeight="1" s="152">
      <c r="A52" s="19" t="n"/>
      <c r="B52" s="27" t="inlineStr">
        <is>
          <t>Division 5:  Metal</t>
        </is>
      </c>
      <c r="C52" s="11" t="n"/>
      <c r="D52" s="12" t="inlineStr">
        <is>
          <t>per division</t>
        </is>
      </c>
      <c r="E52" s="14" t="n"/>
      <c r="F52" s="14" t="n"/>
      <c r="G52" s="14" t="n"/>
      <c r="H52" s="14" t="n"/>
      <c r="I52" s="22" t="n"/>
      <c r="J52" s="22" t="n"/>
      <c r="K52" s="22" t="n"/>
      <c r="L52" s="22" t="n"/>
      <c r="M52" s="20" t="n"/>
      <c r="N52" s="20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29.25" customHeight="1" s="152">
      <c r="A53" s="19" t="n">
        <v>5.51</v>
      </c>
      <c r="B53" s="21" t="inlineStr">
        <is>
          <t>Metal Letters</t>
        </is>
      </c>
      <c r="C53" s="11" t="n"/>
      <c r="D53" s="12" t="inlineStr">
        <is>
          <t>per metal</t>
        </is>
      </c>
      <c r="E53" s="14" t="n"/>
      <c r="F53" s="14" t="n"/>
      <c r="G53" s="14" t="n"/>
      <c r="H53" s="14" t="n"/>
      <c r="I53" s="22">
        <f>PRODUCT(C53*E53)</f>
        <v/>
      </c>
      <c r="J53" s="22">
        <f>PRODUCT(I53)*E$202</f>
        <v/>
      </c>
      <c r="K53" s="22">
        <f>SUM(I53:J53)</f>
        <v/>
      </c>
      <c r="L53" s="22">
        <f>(K53/C53)</f>
        <v/>
      </c>
      <c r="M53" s="20" t="n"/>
      <c r="N53" s="20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29.25" customHeight="1" s="152">
      <c r="A54" s="19" t="n">
        <v>5.52</v>
      </c>
      <c r="B54" s="21" t="inlineStr">
        <is>
          <t xml:space="preserve">Metal Railings </t>
        </is>
      </c>
      <c r="C54" s="11" t="n"/>
      <c r="D54" s="12" t="inlineStr">
        <is>
          <t>per metal</t>
        </is>
      </c>
      <c r="E54" s="14" t="n"/>
      <c r="F54" s="14" t="n"/>
      <c r="G54" s="14" t="n"/>
      <c r="H54" s="14" t="n"/>
      <c r="I54" s="22">
        <f>PRODUCT(C54*E54)</f>
        <v/>
      </c>
      <c r="J54" s="22">
        <f>PRODUCT(I54)*E$202</f>
        <v/>
      </c>
      <c r="K54" s="22">
        <f>SUM(I54:J54)</f>
        <v/>
      </c>
      <c r="L54" s="22">
        <f>(K54/C54)</f>
        <v/>
      </c>
      <c r="M54" s="20" t="n"/>
      <c r="N54" s="20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29.25" customHeight="1" s="152">
      <c r="A55" s="19" t="n"/>
      <c r="B55" s="36" t="n"/>
      <c r="C55" s="24" t="n"/>
      <c r="D55" s="25" t="n"/>
      <c r="E55" s="26" t="n"/>
      <c r="F55" s="26">
        <f>SUM(F53:F54)</f>
        <v/>
      </c>
      <c r="G55" s="26">
        <f>SUM(G53:G54)</f>
        <v/>
      </c>
      <c r="H55" s="26">
        <f>SUM(H53:H54)</f>
        <v/>
      </c>
      <c r="I55" s="26">
        <f>SUM(I53:I54)</f>
        <v/>
      </c>
      <c r="J55" s="26">
        <f>SUM(J53:J54)</f>
        <v/>
      </c>
      <c r="K55" s="26">
        <f>SUM(K53:K54)</f>
        <v/>
      </c>
      <c r="L55" s="26" t="n"/>
      <c r="M55" s="28" t="n"/>
      <c r="N55" s="28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29.25" customHeight="1" s="152">
      <c r="A56" s="19" t="n"/>
      <c r="B56" s="27" t="inlineStr">
        <is>
          <t>Division 6:  Wood, Plastics, Composites</t>
        </is>
      </c>
      <c r="C56" s="11" t="n"/>
      <c r="D56" s="12" t="inlineStr">
        <is>
          <t>per division</t>
        </is>
      </c>
      <c r="E56" s="14" t="n"/>
      <c r="F56" s="14" t="n"/>
      <c r="G56" s="14" t="n"/>
      <c r="H56" s="14" t="n"/>
      <c r="I56" s="22" t="n"/>
      <c r="J56" s="22" t="n"/>
      <c r="K56" s="22" t="n"/>
      <c r="L56" s="22" t="n"/>
      <c r="M56" s="20" t="n"/>
      <c r="N56" s="20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29.25" customHeight="1" s="152">
      <c r="A57" s="30" t="n">
        <v>6.11</v>
      </c>
      <c r="B57" s="21" t="inlineStr">
        <is>
          <t>Framing Material</t>
        </is>
      </c>
      <c r="C57" s="11" t="n"/>
      <c r="D57" s="12" t="inlineStr">
        <is>
          <t>sqft</t>
        </is>
      </c>
      <c r="E57" s="14" t="n"/>
      <c r="F57" s="14" t="n"/>
      <c r="G57" s="14" t="n"/>
      <c r="H57" s="14" t="n"/>
      <c r="I57" s="15">
        <f>PRODUCT(C57*E57)</f>
        <v/>
      </c>
      <c r="J57" s="15">
        <f>PRODUCT(I57)*E$202</f>
        <v/>
      </c>
      <c r="K57" s="22">
        <f>SUM(I57:J57)</f>
        <v/>
      </c>
      <c r="L57" s="22">
        <f>(K57/C57)</f>
        <v/>
      </c>
      <c r="M57" s="31" t="n"/>
      <c r="N57" s="31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  <c r="X57" s="32" t="n"/>
      <c r="Y57" s="32" t="n"/>
      <c r="Z57" s="32" t="n"/>
    </row>
    <row r="58" ht="29.25" customHeight="1" s="152">
      <c r="A58" s="19" t="n">
        <v>6.11</v>
      </c>
      <c r="B58" s="21" t="inlineStr">
        <is>
          <t>Framing Labor</t>
        </is>
      </c>
      <c r="C58" s="11" t="n"/>
      <c r="D58" s="12" t="inlineStr">
        <is>
          <t>sqft</t>
        </is>
      </c>
      <c r="E58" s="14" t="n"/>
      <c r="F58" s="14" t="n"/>
      <c r="G58" s="14" t="n"/>
      <c r="H58" s="14" t="n"/>
      <c r="I58" s="15">
        <f>PRODUCT(C58*E58)</f>
        <v/>
      </c>
      <c r="J58" s="15">
        <f>PRODUCT(I58)*E$202</f>
        <v/>
      </c>
      <c r="K58" s="22">
        <f>SUM(I58:J58)</f>
        <v/>
      </c>
      <c r="L58" s="22">
        <f>(K58/C58)</f>
        <v/>
      </c>
      <c r="M58" s="20" t="n"/>
      <c r="N58" s="20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29.25" customHeight="1" s="152">
      <c r="A59" s="19" t="inlineStr">
        <is>
          <t>6.17.53</t>
        </is>
      </c>
      <c r="B59" s="21" t="inlineStr">
        <is>
          <t>Trusses &amp; Trim Joists</t>
        </is>
      </c>
      <c r="C59" s="11" t="n"/>
      <c r="D59" s="12" t="inlineStr">
        <is>
          <t>sqft</t>
        </is>
      </c>
      <c r="E59" s="14" t="n"/>
      <c r="F59" s="14" t="n"/>
      <c r="G59" s="14" t="n"/>
      <c r="H59" s="14" t="n"/>
      <c r="I59" s="15">
        <f>PRODUCT(C59*E59)</f>
        <v/>
      </c>
      <c r="J59" s="15">
        <f>PRODUCT(I59)*E$202</f>
        <v/>
      </c>
      <c r="K59" s="22">
        <f>SUM(I59:J59)</f>
        <v/>
      </c>
      <c r="L59" s="22">
        <f>(K59/C59)</f>
        <v/>
      </c>
      <c r="M59" s="20" t="n"/>
      <c r="N59" s="20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29.25" customHeight="1" s="152">
      <c r="A60" s="30" t="inlineStr">
        <is>
          <t>6.20.13</t>
        </is>
      </c>
      <c r="B60" s="21" t="inlineStr">
        <is>
          <t>Exterior Trim Material</t>
        </is>
      </c>
      <c r="C60" s="11" t="n"/>
      <c r="D60" s="12" t="inlineStr">
        <is>
          <t>sqft</t>
        </is>
      </c>
      <c r="E60" s="14" t="n"/>
      <c r="F60" s="14" t="n"/>
      <c r="G60" s="14" t="n"/>
      <c r="H60" s="14" t="n"/>
      <c r="I60" s="15">
        <f>PRODUCT(C60*E60)</f>
        <v/>
      </c>
      <c r="J60" s="15">
        <f>PRODUCT(I60)*E$202</f>
        <v/>
      </c>
      <c r="K60" s="22">
        <f>SUM(I60:J60)</f>
        <v/>
      </c>
      <c r="L60" s="22">
        <f>(K60/C60)</f>
        <v/>
      </c>
      <c r="M60" s="20" t="n"/>
      <c r="N60" s="20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29.25" customHeight="1" s="152">
      <c r="A61" s="19" t="inlineStr">
        <is>
          <t>6.20.13</t>
        </is>
      </c>
      <c r="B61" s="21" t="inlineStr">
        <is>
          <t xml:space="preserve">Exterior Trim Labor </t>
        </is>
      </c>
      <c r="C61" s="11" t="n"/>
      <c r="D61" s="12" t="inlineStr">
        <is>
          <t>sqft</t>
        </is>
      </c>
      <c r="E61" s="14" t="n"/>
      <c r="F61" s="14" t="n"/>
      <c r="G61" s="14" t="n"/>
      <c r="H61" s="14" t="n"/>
      <c r="I61" s="15">
        <f>PRODUCT(C61*E61)</f>
        <v/>
      </c>
      <c r="J61" s="15">
        <f>PRODUCT(I61)*E$202</f>
        <v/>
      </c>
      <c r="K61" s="22">
        <f>SUM(I61:J61)</f>
        <v/>
      </c>
      <c r="L61" s="22">
        <f>(K61/C61)</f>
        <v/>
      </c>
      <c r="M61" s="20" t="n"/>
      <c r="N61" s="20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29.25" customHeight="1" s="152">
      <c r="A62" s="19" t="inlineStr">
        <is>
          <t>6.20.23</t>
        </is>
      </c>
      <c r="B62" s="21" t="inlineStr">
        <is>
          <t>Interior Trim Material</t>
        </is>
      </c>
      <c r="C62" s="11" t="n"/>
      <c r="D62" s="12" t="inlineStr">
        <is>
          <t>sqft</t>
        </is>
      </c>
      <c r="E62" s="14" t="n"/>
      <c r="F62" s="14" t="n"/>
      <c r="G62" s="14" t="n"/>
      <c r="H62" s="14" t="n"/>
      <c r="I62" s="15">
        <f>PRODUCT(C62*E62)</f>
        <v/>
      </c>
      <c r="J62" s="15">
        <f>PRODUCT(I62)*E$202</f>
        <v/>
      </c>
      <c r="K62" s="22">
        <f>SUM(I62:J62)</f>
        <v/>
      </c>
      <c r="L62" s="22">
        <f>(K62/C62)</f>
        <v/>
      </c>
      <c r="M62" s="31" t="n"/>
      <c r="N62" s="31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  <c r="Y62" s="32" t="n"/>
      <c r="Z62" s="32" t="n"/>
    </row>
    <row r="63" ht="29.25" customHeight="1" s="152">
      <c r="A63" s="19" t="inlineStr">
        <is>
          <t>6.20.23</t>
        </is>
      </c>
      <c r="B63" s="21" t="inlineStr">
        <is>
          <t>Interior Trim Labor</t>
        </is>
      </c>
      <c r="C63" s="11" t="n"/>
      <c r="D63" s="12" t="inlineStr">
        <is>
          <t>sqft</t>
        </is>
      </c>
      <c r="E63" s="14" t="n"/>
      <c r="F63" s="14" t="n"/>
      <c r="G63" s="14" t="n"/>
      <c r="H63" s="14" t="n"/>
      <c r="I63" s="15">
        <f>PRODUCT(C63*E63)</f>
        <v/>
      </c>
      <c r="J63" s="15">
        <f>PRODUCT(I63)*E$202</f>
        <v/>
      </c>
      <c r="K63" s="22">
        <f>SUM(I63:J63)</f>
        <v/>
      </c>
      <c r="L63" s="22">
        <f>(K63/C63)</f>
        <v/>
      </c>
      <c r="M63" s="20" t="n"/>
      <c r="N63" s="20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29.25" customHeight="1" s="152">
      <c r="A64" s="19" t="inlineStr">
        <is>
          <t>6.41.93</t>
        </is>
      </c>
      <c r="B64" s="21" t="inlineStr">
        <is>
          <t>Cabinet &amp; Drawer Hardware</t>
        </is>
      </c>
      <c r="C64" s="11" t="n"/>
      <c r="D64" s="12" t="inlineStr">
        <is>
          <t>per cabinet</t>
        </is>
      </c>
      <c r="E64" s="14" t="n"/>
      <c r="F64" s="14" t="n"/>
      <c r="G64" s="14" t="n"/>
      <c r="H64" s="14" t="n"/>
      <c r="I64" s="15">
        <f>PRODUCT(C64*E64)</f>
        <v/>
      </c>
      <c r="J64" s="15">
        <f>PRODUCT(I64)*E$202</f>
        <v/>
      </c>
      <c r="K64" s="22">
        <f>SUM(I64:J64)</f>
        <v/>
      </c>
      <c r="L64" s="22">
        <f>(K64/C64)</f>
        <v/>
      </c>
      <c r="M64" s="20" t="n"/>
      <c r="N64" s="20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29.25" customHeight="1" s="152">
      <c r="A65" s="19" t="inlineStr">
        <is>
          <t>6.43.13</t>
        </is>
      </c>
      <c r="B65" s="37" t="inlineStr">
        <is>
          <t>Stair Material</t>
        </is>
      </c>
      <c r="C65" s="11" t="n"/>
      <c r="D65" s="12" t="inlineStr">
        <is>
          <t>per stair</t>
        </is>
      </c>
      <c r="E65" s="14" t="n"/>
      <c r="F65" s="14" t="n"/>
      <c r="G65" s="14" t="n"/>
      <c r="H65" s="14" t="n"/>
      <c r="I65" s="15">
        <f>PRODUCT(C65*E65)</f>
        <v/>
      </c>
      <c r="J65" s="15">
        <f>PRODUCT(I65)*E$202</f>
        <v/>
      </c>
      <c r="K65" s="22">
        <f>SUM(I65:J65)</f>
        <v/>
      </c>
      <c r="L65" s="22">
        <f>(K65/C65)</f>
        <v/>
      </c>
      <c r="M65" s="20" t="n"/>
      <c r="N65" s="20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29.25" customHeight="1" s="152">
      <c r="A66" s="19" t="inlineStr">
        <is>
          <t>6.43.13</t>
        </is>
      </c>
      <c r="B66" s="37" t="inlineStr">
        <is>
          <t>Stair Labor</t>
        </is>
      </c>
      <c r="C66" s="11" t="n"/>
      <c r="D66" s="12" t="inlineStr">
        <is>
          <t>per stair</t>
        </is>
      </c>
      <c r="E66" s="14" t="n"/>
      <c r="F66" s="14" t="n"/>
      <c r="G66" s="14" t="n"/>
      <c r="H66" s="14" t="n"/>
      <c r="I66" s="15">
        <f>PRODUCT(C66*E66)</f>
        <v/>
      </c>
      <c r="J66" s="15">
        <f>PRODUCT(I66)*E$202</f>
        <v/>
      </c>
      <c r="K66" s="22">
        <f>SUM(I66:J66)</f>
        <v/>
      </c>
      <c r="L66" s="22">
        <f>(K66/C66)</f>
        <v/>
      </c>
      <c r="M66" s="20" t="n"/>
      <c r="N66" s="20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29.25" customHeight="1" s="152">
      <c r="A67" s="38" t="n">
        <v>6.44</v>
      </c>
      <c r="B67" s="34" t="inlineStr">
        <is>
          <t>Wood Burning Fireplace Masonary</t>
        </is>
      </c>
      <c r="C67" s="11" t="n"/>
      <c r="D67" s="12" t="inlineStr">
        <is>
          <t xml:space="preserve">per </t>
        </is>
      </c>
      <c r="E67" s="14" t="n"/>
      <c r="F67" s="14" t="n"/>
      <c r="G67" s="14" t="n"/>
      <c r="H67" s="14" t="n"/>
      <c r="I67" s="15">
        <f>PRODUCT(C67*E67)</f>
        <v/>
      </c>
      <c r="J67" s="15">
        <f>PRODUCT(I67)*E$202</f>
        <v/>
      </c>
      <c r="K67" s="22">
        <f>SUM(I67:J67)</f>
        <v/>
      </c>
      <c r="L67" s="22">
        <f>(K67/C67)</f>
        <v/>
      </c>
      <c r="M67" s="20" t="n"/>
      <c r="N67" s="20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29.25" customHeight="1" s="152">
      <c r="A68" s="38" t="n">
        <v>6.44</v>
      </c>
      <c r="B68" s="34" t="inlineStr">
        <is>
          <t>Mantel/Wood Beam Labor</t>
        </is>
      </c>
      <c r="C68" s="11" t="n"/>
      <c r="D68" s="12" t="inlineStr">
        <is>
          <t>per mantel</t>
        </is>
      </c>
      <c r="E68" s="14" t="n"/>
      <c r="F68" s="14" t="n"/>
      <c r="G68" s="14" t="n"/>
      <c r="H68" s="14" t="n"/>
      <c r="I68" s="15">
        <f>PRODUCT(C68*E68)</f>
        <v/>
      </c>
      <c r="J68" s="15">
        <f>PRODUCT(I68)*E$202</f>
        <v/>
      </c>
      <c r="K68" s="22">
        <f>SUM(I68:J68)</f>
        <v/>
      </c>
      <c r="L68" s="22">
        <f>(K68/C68)</f>
        <v/>
      </c>
      <c r="M68" s="20" t="n"/>
      <c r="N68" s="20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29.25" customHeight="1" s="152">
      <c r="A69" s="19" t="inlineStr">
        <is>
          <t>6.44.39</t>
        </is>
      </c>
      <c r="B69" s="21" t="inlineStr">
        <is>
          <t>Wood Post &amp; Column Material</t>
        </is>
      </c>
      <c r="C69" s="11" t="n"/>
      <c r="D69" s="12" t="inlineStr">
        <is>
          <t>lft</t>
        </is>
      </c>
      <c r="E69" s="14" t="n"/>
      <c r="F69" s="14" t="n"/>
      <c r="G69" s="14" t="n"/>
      <c r="H69" s="14" t="n"/>
      <c r="I69" s="15">
        <f>PRODUCT(C69*E69)</f>
        <v/>
      </c>
      <c r="J69" s="15">
        <f>PRODUCT(I69)*E$202</f>
        <v/>
      </c>
      <c r="K69" s="22">
        <f>SUM(I69:J69)</f>
        <v/>
      </c>
      <c r="L69" s="22">
        <f>(K69/C69)</f>
        <v/>
      </c>
      <c r="M69" s="20" t="n"/>
      <c r="N69" s="20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29.25" customHeight="1" s="152">
      <c r="A70" s="19" t="inlineStr">
        <is>
          <t>6.44.39</t>
        </is>
      </c>
      <c r="B70" s="21" t="inlineStr">
        <is>
          <t>Wood Post &amp; Column Labor</t>
        </is>
      </c>
      <c r="C70" s="11" t="n"/>
      <c r="D70" s="12" t="inlineStr">
        <is>
          <t>per</t>
        </is>
      </c>
      <c r="E70" s="14" t="n"/>
      <c r="F70" s="14" t="n"/>
      <c r="G70" s="14" t="n"/>
      <c r="H70" s="14" t="n"/>
      <c r="I70" s="15">
        <f>PRODUCT(C70*E70)</f>
        <v/>
      </c>
      <c r="J70" s="15">
        <f>PRODUCT(I70)*E$202</f>
        <v/>
      </c>
      <c r="K70" s="22">
        <f>SUM(I70:J70)</f>
        <v/>
      </c>
      <c r="L70" s="22">
        <f>(K70/C70)</f>
        <v/>
      </c>
      <c r="M70" s="20" t="n"/>
      <c r="N70" s="20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29.25" customHeight="1" s="152">
      <c r="A71" s="19" t="inlineStr">
        <is>
          <t>6.49.13</t>
        </is>
      </c>
      <c r="B71" s="21" t="inlineStr">
        <is>
          <t>Mantel Material</t>
        </is>
      </c>
      <c r="C71" s="11" t="n"/>
      <c r="D71" s="12" t="inlineStr">
        <is>
          <t>per mantel</t>
        </is>
      </c>
      <c r="E71" s="14" t="n"/>
      <c r="F71" s="14" t="n"/>
      <c r="G71" s="14" t="n"/>
      <c r="H71" s="14" t="n"/>
      <c r="I71" s="15">
        <f>PRODUCT(C71*E71)</f>
        <v/>
      </c>
      <c r="J71" s="15">
        <f>PRODUCT(I71)*E$202</f>
        <v/>
      </c>
      <c r="K71" s="22">
        <f>SUM(I71:J71)</f>
        <v/>
      </c>
      <c r="L71" s="22">
        <f>(K71/C71)</f>
        <v/>
      </c>
      <c r="M71" s="20" t="n"/>
      <c r="N71" s="20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29.25" customHeight="1" s="152">
      <c r="A72" s="19" t="inlineStr">
        <is>
          <t>6.49.13</t>
        </is>
      </c>
      <c r="B72" s="21" t="inlineStr">
        <is>
          <t>Mantel Labor</t>
        </is>
      </c>
      <c r="C72" s="11" t="n"/>
      <c r="D72" s="12" t="inlineStr">
        <is>
          <t>per mantel</t>
        </is>
      </c>
      <c r="E72" s="14" t="n"/>
      <c r="F72" s="14" t="n"/>
      <c r="G72" s="14" t="n"/>
      <c r="H72" s="14" t="n"/>
      <c r="I72" s="15">
        <f>PRODUCT(C72*E72)</f>
        <v/>
      </c>
      <c r="J72" s="15">
        <f>PRODUCT(I72)*E$202</f>
        <v/>
      </c>
      <c r="K72" s="22">
        <f>SUM(I72:J72)</f>
        <v/>
      </c>
      <c r="L72" s="22">
        <f>(K72/C72)</f>
        <v/>
      </c>
      <c r="M72" s="20" t="n"/>
      <c r="N72" s="20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29.25" customHeight="1" s="152">
      <c r="A73" s="19" t="inlineStr">
        <is>
          <t>6.49.19</t>
        </is>
      </c>
      <c r="B73" s="21" t="inlineStr">
        <is>
          <t>Shutters Material</t>
        </is>
      </c>
      <c r="C73" s="11" t="n"/>
      <c r="D73" s="12" t="inlineStr">
        <is>
          <t>per shutters</t>
        </is>
      </c>
      <c r="E73" s="14" t="n"/>
      <c r="F73" s="14" t="n"/>
      <c r="G73" s="14" t="n"/>
      <c r="H73" s="14" t="n"/>
      <c r="I73" s="15">
        <f>PRODUCT(C73*E73)</f>
        <v/>
      </c>
      <c r="J73" s="15">
        <f>PRODUCT(I73)*E$202</f>
        <v/>
      </c>
      <c r="K73" s="22">
        <f>SUM(I73:J73)</f>
        <v/>
      </c>
      <c r="L73" s="22">
        <f>(K73/C73)</f>
        <v/>
      </c>
      <c r="M73" s="20" t="n"/>
      <c r="N73" s="20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29.25" customHeight="1" s="152">
      <c r="A74" s="30" t="inlineStr">
        <is>
          <t>6.49.19</t>
        </is>
      </c>
      <c r="B74" s="39" t="inlineStr">
        <is>
          <t>Shutters Labor</t>
        </is>
      </c>
      <c r="C74" s="11" t="n"/>
      <c r="D74" s="12" t="inlineStr">
        <is>
          <t>per shutters</t>
        </is>
      </c>
      <c r="E74" s="14" t="n"/>
      <c r="F74" s="14" t="n"/>
      <c r="G74" s="14" t="n"/>
      <c r="H74" s="14" t="n"/>
      <c r="I74" s="15">
        <f>PRODUCT(C74*E74)</f>
        <v/>
      </c>
      <c r="J74" s="15">
        <f>PRODUCT(I74)*E$202</f>
        <v/>
      </c>
      <c r="K74" s="22">
        <f>SUM(I74:J74)</f>
        <v/>
      </c>
      <c r="L74" s="22">
        <f>(K74/C74)</f>
        <v/>
      </c>
      <c r="M74" s="31" t="n"/>
      <c r="N74" s="31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  <c r="X74" s="32" t="n"/>
      <c r="Y74" s="32" t="n"/>
      <c r="Z74" s="32" t="n"/>
    </row>
    <row r="75" ht="29.25" customHeight="1" s="152">
      <c r="A75" s="30" t="n"/>
      <c r="B75" s="40" t="n"/>
      <c r="C75" s="24" t="n"/>
      <c r="D75" s="25" t="n"/>
      <c r="E75" s="26" t="n"/>
      <c r="F75" s="26">
        <f>SUM(F57:F74)</f>
        <v/>
      </c>
      <c r="G75" s="26">
        <f>SUM(G57:G74)</f>
        <v/>
      </c>
      <c r="H75" s="26">
        <f>SUM(H57:H74)</f>
        <v/>
      </c>
      <c r="I75" s="26">
        <f>SUM(I57:I74)</f>
        <v/>
      </c>
      <c r="J75" s="26">
        <f>SUM(J57:J74)</f>
        <v/>
      </c>
      <c r="K75" s="26">
        <f>SUM(K57:K74)</f>
        <v/>
      </c>
      <c r="L75" s="26" t="n"/>
      <c r="M75" s="28" t="n">
        <v>55188.25</v>
      </c>
      <c r="N75" s="28" t="n"/>
      <c r="O75" s="32" t="n"/>
      <c r="P75" s="32" t="n"/>
      <c r="Q75" s="32" t="n"/>
      <c r="R75" s="32" t="n"/>
      <c r="S75" s="32" t="n"/>
      <c r="T75" s="32" t="n"/>
      <c r="U75" s="32" t="n"/>
      <c r="V75" s="32" t="n"/>
      <c r="W75" s="32" t="n"/>
      <c r="X75" s="32" t="n"/>
      <c r="Y75" s="32" t="n"/>
      <c r="Z75" s="32" t="n"/>
    </row>
    <row r="76" ht="29.25" customHeight="1" s="152">
      <c r="A76" s="30" t="n"/>
      <c r="B76" s="18" t="inlineStr">
        <is>
          <t>Division 7:  Thermal &amp; Moisture Protection</t>
        </is>
      </c>
      <c r="C76" s="11" t="n"/>
      <c r="D76" s="12" t="inlineStr">
        <is>
          <t>per division</t>
        </is>
      </c>
      <c r="E76" s="14" t="n"/>
      <c r="F76" s="14" t="n"/>
      <c r="G76" s="14" t="n"/>
      <c r="H76" s="14" t="n"/>
      <c r="I76" s="15" t="n"/>
      <c r="J76" s="15" t="n"/>
      <c r="K76" s="22" t="n"/>
      <c r="L76" s="22" t="n"/>
      <c r="M76" s="31" t="n"/>
      <c r="N76" s="31" t="n"/>
      <c r="O76" s="32" t="n"/>
      <c r="P76" s="32" t="n"/>
      <c r="Q76" s="32" t="n"/>
      <c r="R76" s="32" t="n"/>
      <c r="S76" s="32" t="n"/>
      <c r="T76" s="32" t="n"/>
      <c r="U76" s="32" t="n"/>
      <c r="V76" s="32" t="n"/>
      <c r="W76" s="32" t="n"/>
      <c r="X76" s="32" t="n"/>
      <c r="Y76" s="32" t="n"/>
      <c r="Z76" s="32" t="n"/>
    </row>
    <row r="77" ht="29.25" customHeight="1" s="152">
      <c r="A77" s="19" t="n">
        <v>7.1</v>
      </c>
      <c r="B77" s="21" t="inlineStr">
        <is>
          <t>Foundation Waterproofing</t>
        </is>
      </c>
      <c r="C77" s="11" t="n"/>
      <c r="D77" s="12" t="inlineStr">
        <is>
          <t>per foundation</t>
        </is>
      </c>
      <c r="E77" s="14" t="n"/>
      <c r="F77" s="14" t="n"/>
      <c r="G77" s="14" t="n"/>
      <c r="H77" s="14" t="n"/>
      <c r="I77" s="15">
        <f>PRODUCT(C77*E77)</f>
        <v/>
      </c>
      <c r="J77" s="15">
        <f>PRODUCT(I77)*E$202</f>
        <v/>
      </c>
      <c r="K77" s="22">
        <f>SUM(I77:J77)</f>
        <v/>
      </c>
      <c r="L77" s="22">
        <f>(K77/C77)</f>
        <v/>
      </c>
      <c r="M77" s="20" t="n"/>
      <c r="N77" s="20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29.25" customHeight="1" s="152">
      <c r="A78" s="19" t="n">
        <v>7.21</v>
      </c>
      <c r="B78" s="21" t="inlineStr">
        <is>
          <t>Insulation Material</t>
        </is>
      </c>
      <c r="C78" s="11" t="n"/>
      <c r="D78" s="12" t="inlineStr">
        <is>
          <t>per insulation</t>
        </is>
      </c>
      <c r="E78" s="14" t="n"/>
      <c r="F78" s="14" t="n"/>
      <c r="G78" s="14" t="n"/>
      <c r="H78" s="14" t="n"/>
      <c r="I78" s="15">
        <f>PRODUCT(C78*E78)</f>
        <v/>
      </c>
      <c r="J78" s="15">
        <f>PRODUCT(I78)*E$202</f>
        <v/>
      </c>
      <c r="K78" s="22">
        <f>SUM(I78:J78)</f>
        <v/>
      </c>
      <c r="L78" s="22">
        <f>(K78/C78)</f>
        <v/>
      </c>
      <c r="M78" s="20" t="n"/>
      <c r="N78" s="20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29.25" customHeight="1" s="152">
      <c r="A79" s="19" t="n">
        <v>7.21</v>
      </c>
      <c r="B79" s="21" t="inlineStr">
        <is>
          <t>Insulation Labor</t>
        </is>
      </c>
      <c r="C79" s="11" t="n"/>
      <c r="D79" s="12" t="inlineStr">
        <is>
          <t>per insulation</t>
        </is>
      </c>
      <c r="E79" s="14" t="n"/>
      <c r="F79" s="14" t="n"/>
      <c r="G79" s="14" t="n"/>
      <c r="H79" s="14" t="n"/>
      <c r="I79" s="15">
        <f>PRODUCT(C79*E79)</f>
        <v/>
      </c>
      <c r="J79" s="15">
        <f>PRODUCT(I79)*E$202</f>
        <v/>
      </c>
      <c r="K79" s="22">
        <f>SUM(I79:J79)</f>
        <v/>
      </c>
      <c r="L79" s="22">
        <f>(K79/C79)</f>
        <v/>
      </c>
      <c r="M79" s="20" t="n"/>
      <c r="N79" s="20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29.25" customHeight="1" s="152">
      <c r="A80" s="19" t="n">
        <v>7.25</v>
      </c>
      <c r="B80" s="21" t="inlineStr">
        <is>
          <t>Foundation Moisture Barrier</t>
        </is>
      </c>
      <c r="C80" s="11" t="n"/>
      <c r="D80" s="12" t="inlineStr">
        <is>
          <t>per foundation</t>
        </is>
      </c>
      <c r="E80" s="14" t="n"/>
      <c r="F80" s="14" t="n"/>
      <c r="G80" s="14" t="n"/>
      <c r="H80" s="14" t="n"/>
      <c r="I80" s="15">
        <f>PRODUCT(C80*E80)</f>
        <v/>
      </c>
      <c r="J80" s="15">
        <f>PRODUCT(I80)*E$202</f>
        <v/>
      </c>
      <c r="K80" s="22">
        <f>SUM(I80:J80)</f>
        <v/>
      </c>
      <c r="L80" s="22">
        <f>(K80/C80)</f>
        <v/>
      </c>
      <c r="M80" s="20" t="n"/>
      <c r="N80" s="20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29.25" customHeight="1" s="152">
      <c r="A81" s="19" t="inlineStr">
        <is>
          <t>7.31.13</t>
        </is>
      </c>
      <c r="B81" s="21" t="inlineStr">
        <is>
          <t>Shingle Roofing Material</t>
        </is>
      </c>
      <c r="C81" s="11" t="n"/>
      <c r="D81" s="12" t="inlineStr">
        <is>
          <t>per square</t>
        </is>
      </c>
      <c r="E81" s="14" t="n"/>
      <c r="F81" s="14" t="n"/>
      <c r="G81" s="14" t="n"/>
      <c r="H81" s="14" t="n"/>
      <c r="I81" s="15">
        <f>PRODUCT(C81*E81)</f>
        <v/>
      </c>
      <c r="J81" s="15">
        <f>PRODUCT(I81)*E$202</f>
        <v/>
      </c>
      <c r="K81" s="22">
        <f>SUM(I81:J81)</f>
        <v/>
      </c>
      <c r="L81" s="22">
        <f>(K81/C81)</f>
        <v/>
      </c>
      <c r="M81" s="20" t="n"/>
      <c r="N81" s="20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29.25" customHeight="1" s="152">
      <c r="A82" s="19" t="inlineStr">
        <is>
          <t>7.31.13</t>
        </is>
      </c>
      <c r="B82" s="21" t="inlineStr">
        <is>
          <t>Shingle Roofing Labor</t>
        </is>
      </c>
      <c r="C82" s="11" t="n"/>
      <c r="D82" s="12" t="inlineStr">
        <is>
          <t>per square</t>
        </is>
      </c>
      <c r="E82" s="14" t="n"/>
      <c r="F82" s="14" t="n"/>
      <c r="G82" s="14" t="n"/>
      <c r="H82" s="14" t="n"/>
      <c r="I82" s="15">
        <f>PRODUCT(C82*E82)</f>
        <v/>
      </c>
      <c r="J82" s="15">
        <f>PRODUCT(I82)*E$202</f>
        <v/>
      </c>
      <c r="K82" s="22">
        <f>SUM(I82:J82)</f>
        <v/>
      </c>
      <c r="L82" s="22">
        <f>(K82/C82)</f>
        <v/>
      </c>
      <c r="M82" s="20" t="n"/>
      <c r="N82" s="20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29.25" customHeight="1" s="152">
      <c r="A83" s="19" t="inlineStr">
        <is>
          <t>7.41.13</t>
        </is>
      </c>
      <c r="B83" s="21" t="inlineStr">
        <is>
          <t>Metal Roofing Material&amp;Labor</t>
        </is>
      </c>
      <c r="C83" s="11" t="n"/>
      <c r="D83" s="12" t="inlineStr">
        <is>
          <t>per square</t>
        </is>
      </c>
      <c r="E83" s="14" t="n"/>
      <c r="F83" s="14" t="n"/>
      <c r="G83" s="14" t="n"/>
      <c r="H83" s="14" t="n"/>
      <c r="I83" s="15">
        <f>PRODUCT(C83*E83)</f>
        <v/>
      </c>
      <c r="J83" s="15">
        <f>PRODUCT(I83)*E$202</f>
        <v/>
      </c>
      <c r="K83" s="22">
        <f>SUM(I83:J83)</f>
        <v/>
      </c>
      <c r="L83" s="22">
        <f>(K83/C83)</f>
        <v/>
      </c>
      <c r="M83" s="20" t="n"/>
      <c r="N83" s="20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29.25" customHeight="1" s="152">
      <c r="A84" s="19" t="inlineStr">
        <is>
          <t>7.41.13</t>
        </is>
      </c>
      <c r="B84" s="21" t="inlineStr">
        <is>
          <t>Metal Roofing Labor</t>
        </is>
      </c>
      <c r="C84" s="11" t="n"/>
      <c r="D84" s="12" t="inlineStr">
        <is>
          <t>per square</t>
        </is>
      </c>
      <c r="E84" s="14" t="n"/>
      <c r="F84" s="14" t="n"/>
      <c r="G84" s="14" t="n"/>
      <c r="H84" s="14" t="n"/>
      <c r="I84" s="15">
        <f>PRODUCT(C84*E84)</f>
        <v/>
      </c>
      <c r="J84" s="15">
        <f>PRODUCT(I84)*E$202</f>
        <v/>
      </c>
      <c r="K84" s="22">
        <f>SUM(I84:J84)</f>
        <v/>
      </c>
      <c r="L84" s="22">
        <f>(K84/C84)</f>
        <v/>
      </c>
      <c r="M84" s="20" t="n"/>
      <c r="N84" s="20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29.25" customHeight="1" s="152">
      <c r="A85" s="19" t="n">
        <v>7.46</v>
      </c>
      <c r="B85" s="21" t="inlineStr">
        <is>
          <t>Siding Material</t>
        </is>
      </c>
      <c r="C85" s="11" t="n"/>
      <c r="D85" s="12" t="inlineStr">
        <is>
          <t>per siding</t>
        </is>
      </c>
      <c r="E85" s="14" t="n"/>
      <c r="F85" s="14" t="n"/>
      <c r="G85" s="14" t="n"/>
      <c r="H85" s="14" t="n"/>
      <c r="I85" s="15">
        <f>PRODUCT(C85*E85)</f>
        <v/>
      </c>
      <c r="J85" s="15">
        <f>PRODUCT(I85)*E$202</f>
        <v/>
      </c>
      <c r="K85" s="22">
        <f>SUM(I85:J85)</f>
        <v/>
      </c>
      <c r="L85" s="22">
        <f>(K85/C85)</f>
        <v/>
      </c>
      <c r="M85" s="20" t="n"/>
      <c r="N85" s="20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29.25" customHeight="1" s="152">
      <c r="A86" s="19" t="n">
        <v>7.46</v>
      </c>
      <c r="B86" s="21" t="inlineStr">
        <is>
          <t>Siding Labor</t>
        </is>
      </c>
      <c r="C86" s="11" t="n"/>
      <c r="D86" s="12" t="inlineStr">
        <is>
          <t>per siding</t>
        </is>
      </c>
      <c r="E86" s="14" t="n"/>
      <c r="F86" s="14" t="n"/>
      <c r="G86" s="14" t="n"/>
      <c r="H86" s="14" t="n"/>
      <c r="I86" s="15">
        <f>PRODUCT(C86*E86)</f>
        <v/>
      </c>
      <c r="J86" s="15">
        <f>PRODUCT(I86)*E$202</f>
        <v/>
      </c>
      <c r="K86" s="22">
        <f>SUM(I86:J86)</f>
        <v/>
      </c>
      <c r="L86" s="22">
        <f>(K86/C86)</f>
        <v/>
      </c>
      <c r="M86" s="20" t="n"/>
      <c r="N86" s="20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29.25" customHeight="1" s="152">
      <c r="A87" s="19" t="inlineStr">
        <is>
          <t>7.71.23</t>
        </is>
      </c>
      <c r="B87" s="21" t="inlineStr">
        <is>
          <t>Gutter Material</t>
        </is>
      </c>
      <c r="C87" s="11" t="n"/>
      <c r="D87" s="12" t="inlineStr">
        <is>
          <t>lft</t>
        </is>
      </c>
      <c r="E87" s="14" t="n"/>
      <c r="F87" s="14" t="n"/>
      <c r="G87" s="14" t="n"/>
      <c r="H87" s="14" t="n"/>
      <c r="I87" s="15">
        <f>PRODUCT(C87*E87)</f>
        <v/>
      </c>
      <c r="J87" s="15">
        <f>PRODUCT(I87)*E$202</f>
        <v/>
      </c>
      <c r="K87" s="22">
        <f>SUM(I87:J87)</f>
        <v/>
      </c>
      <c r="L87" s="22">
        <f>(K87/C87)</f>
        <v/>
      </c>
      <c r="M87" s="20" t="n"/>
      <c r="N87" s="20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29.25" customHeight="1" s="152">
      <c r="A88" s="19" t="inlineStr">
        <is>
          <t>7.71.23</t>
        </is>
      </c>
      <c r="B88" s="21" t="inlineStr">
        <is>
          <t>Gutter Labor</t>
        </is>
      </c>
      <c r="C88" s="11" t="n"/>
      <c r="D88" s="12" t="inlineStr">
        <is>
          <t>lft</t>
        </is>
      </c>
      <c r="E88" s="14" t="n"/>
      <c r="F88" s="14" t="n"/>
      <c r="G88" s="14" t="n"/>
      <c r="H88" s="14" t="n"/>
      <c r="I88" s="15">
        <f>PRODUCT(C88*E88)</f>
        <v/>
      </c>
      <c r="J88" s="15">
        <f>PRODUCT(I88)*E$202</f>
        <v/>
      </c>
      <c r="K88" s="22">
        <f>SUM(I88:J88)</f>
        <v/>
      </c>
      <c r="L88" s="22">
        <f>(K88/C88)</f>
        <v/>
      </c>
      <c r="M88" s="20" t="n"/>
      <c r="N88" s="20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29.25" customHeight="1" s="152">
      <c r="A89" s="19" t="n"/>
      <c r="B89" s="23" t="n"/>
      <c r="C89" s="24" t="n"/>
      <c r="D89" s="25" t="n"/>
      <c r="E89" s="26" t="n"/>
      <c r="F89" s="26">
        <f>SUM(F77:F88)</f>
        <v/>
      </c>
      <c r="G89" s="26">
        <f>SUM(G77:G88)</f>
        <v/>
      </c>
      <c r="H89" s="26">
        <f>SUM(H77:H88)</f>
        <v/>
      </c>
      <c r="I89" s="26">
        <f>SUM(I77:I88)</f>
        <v/>
      </c>
      <c r="J89" s="26">
        <f>SUM(J77:J88)</f>
        <v/>
      </c>
      <c r="K89" s="26">
        <f>SUM(K77:K88)</f>
        <v/>
      </c>
      <c r="L89" s="26" t="n"/>
      <c r="M89" s="28" t="n">
        <v>27406.8</v>
      </c>
      <c r="N89" s="28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29.25" customHeight="1" s="152">
      <c r="A90" s="30" t="n"/>
      <c r="B90" s="27" t="inlineStr">
        <is>
          <t>Division 8:  Openings (Doors &amp; Windows)</t>
        </is>
      </c>
      <c r="C90" s="11" t="n"/>
      <c r="D90" s="12" t="inlineStr">
        <is>
          <t>per division</t>
        </is>
      </c>
      <c r="E90" s="14" t="n"/>
      <c r="F90" s="14" t="n"/>
      <c r="G90" s="14" t="n"/>
      <c r="H90" s="14" t="n"/>
      <c r="I90" s="17" t="n"/>
      <c r="J90" s="17" t="n"/>
      <c r="K90" s="16" t="n"/>
      <c r="L90" s="16" t="n"/>
      <c r="M90" s="31" t="n"/>
      <c r="N90" s="31" t="n"/>
      <c r="O90" s="32" t="n"/>
      <c r="P90" s="32" t="n"/>
      <c r="Q90" s="32" t="n"/>
      <c r="R90" s="32" t="n"/>
      <c r="S90" s="32" t="n"/>
      <c r="T90" s="32" t="n"/>
      <c r="U90" s="32" t="n"/>
      <c r="V90" s="32" t="n"/>
      <c r="W90" s="32" t="n"/>
      <c r="X90" s="32" t="n"/>
      <c r="Y90" s="32" t="n"/>
      <c r="Z90" s="32" t="n"/>
    </row>
    <row r="91" ht="29.25" customHeight="1" s="152">
      <c r="A91" s="19" t="n">
        <v>8.140000000000001</v>
      </c>
      <c r="B91" s="21" t="inlineStr">
        <is>
          <t>Exterior Doors</t>
        </is>
      </c>
      <c r="C91" s="11" t="n"/>
      <c r="D91" s="12" t="inlineStr">
        <is>
          <t>per exterior</t>
        </is>
      </c>
      <c r="E91" s="14" t="n"/>
      <c r="F91" s="14" t="n"/>
      <c r="G91" s="14" t="n"/>
      <c r="H91" s="14" t="n"/>
      <c r="I91" s="15">
        <f>PRODUCT(C91*E91)</f>
        <v/>
      </c>
      <c r="J91" s="15">
        <f>PRODUCT(I91)*E$202</f>
        <v/>
      </c>
      <c r="K91" s="22">
        <f>SUM(I91:J91)</f>
        <v/>
      </c>
      <c r="L91" s="22">
        <f>(K91/C91)</f>
        <v/>
      </c>
      <c r="M91" s="20" t="n"/>
      <c r="N91" s="20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29.25" customHeight="1" s="152">
      <c r="A92" s="30" t="n">
        <v>8.140000000000001</v>
      </c>
      <c r="B92" s="21" t="inlineStr">
        <is>
          <t>Interior Doors</t>
        </is>
      </c>
      <c r="C92" s="11" t="n"/>
      <c r="D92" s="12" t="inlineStr">
        <is>
          <t>per interior</t>
        </is>
      </c>
      <c r="E92" s="14" t="n"/>
      <c r="F92" s="14" t="n"/>
      <c r="G92" s="14" t="n"/>
      <c r="H92" s="14" t="n"/>
      <c r="I92" s="15">
        <f>PRODUCT(C92*E92)</f>
        <v/>
      </c>
      <c r="J92" s="15">
        <f>PRODUCT(I92)*E$202</f>
        <v/>
      </c>
      <c r="K92" s="22">
        <f>SUM(I92:J92)</f>
        <v/>
      </c>
      <c r="L92" s="22">
        <f>(K92/C92)</f>
        <v/>
      </c>
      <c r="M92" s="31" t="n"/>
      <c r="N92" s="31" t="n"/>
      <c r="O92" s="32" t="n"/>
      <c r="P92" s="32" t="n"/>
      <c r="Q92" s="32" t="n"/>
      <c r="R92" s="32" t="n"/>
      <c r="S92" s="32" t="n"/>
      <c r="T92" s="32" t="n"/>
      <c r="U92" s="32" t="n"/>
      <c r="V92" s="32" t="n"/>
      <c r="W92" s="32" t="n"/>
      <c r="X92" s="32" t="n"/>
      <c r="Y92" s="32" t="n"/>
      <c r="Z92" s="32" t="n"/>
    </row>
    <row r="93" ht="29.25" customHeight="1" s="152">
      <c r="A93" s="19" t="inlineStr">
        <is>
          <t>8.33.23</t>
        </is>
      </c>
      <c r="B93" s="21" t="inlineStr">
        <is>
          <t>Barn Door Kits</t>
        </is>
      </c>
      <c r="C93" s="11" t="n"/>
      <c r="D93" s="12" t="inlineStr">
        <is>
          <t>per barn</t>
        </is>
      </c>
      <c r="E93" s="14" t="n"/>
      <c r="F93" s="14" t="n"/>
      <c r="G93" s="14" t="n"/>
      <c r="H93" s="14" t="n"/>
      <c r="I93" s="15">
        <f>PRODUCT(C93*E93)</f>
        <v/>
      </c>
      <c r="J93" s="15">
        <f>PRODUCT(I93)*E$202</f>
        <v/>
      </c>
      <c r="K93" s="22">
        <f>SUM(I93:J93)</f>
        <v/>
      </c>
      <c r="L93" s="22">
        <f>(K93/C93)</f>
        <v/>
      </c>
      <c r="M93" s="20" t="n"/>
      <c r="N93" s="20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29.25" customHeight="1" s="152">
      <c r="A94" s="19" t="n">
        <v>8.5</v>
      </c>
      <c r="B94" s="37" t="inlineStr">
        <is>
          <t xml:space="preserve">Windows </t>
        </is>
      </c>
      <c r="C94" s="11" t="n"/>
      <c r="D94" s="12" t="inlineStr">
        <is>
          <t>per windows&amp;exterior</t>
        </is>
      </c>
      <c r="E94" s="14" t="n"/>
      <c r="F94" s="14" t="n"/>
      <c r="G94" s="14" t="n"/>
      <c r="H94" s="14" t="n"/>
      <c r="I94" s="15">
        <f>PRODUCT(C94*E94)</f>
        <v/>
      </c>
      <c r="J94" s="15">
        <f>PRODUCT(I94)*E$202</f>
        <v/>
      </c>
      <c r="K94" s="22">
        <f>SUM(I94:J94)</f>
        <v/>
      </c>
      <c r="L94" s="22">
        <f>(K94/C94)</f>
        <v/>
      </c>
      <c r="M94" s="20" t="n"/>
      <c r="N94" s="20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29.25" customHeight="1" s="152">
      <c r="A95" s="19" t="n">
        <v>8.710000000000001</v>
      </c>
      <c r="B95" s="37" t="inlineStr">
        <is>
          <t>Door Hardware</t>
        </is>
      </c>
      <c r="C95" s="11" t="n"/>
      <c r="D95" s="12" t="inlineStr">
        <is>
          <t>per door</t>
        </is>
      </c>
      <c r="E95" s="14" t="n"/>
      <c r="F95" s="14" t="n"/>
      <c r="G95" s="14" t="n"/>
      <c r="H95" s="14" t="n"/>
      <c r="I95" s="15">
        <f>PRODUCT(C95*E95)</f>
        <v/>
      </c>
      <c r="J95" s="15">
        <f>PRODUCT(I95)*E$202</f>
        <v/>
      </c>
      <c r="K95" s="22">
        <f>SUM(I95:J95)</f>
        <v/>
      </c>
      <c r="L95" s="22">
        <f>(K95/C95)</f>
        <v/>
      </c>
      <c r="M95" s="20" t="n"/>
      <c r="N95" s="20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29.25" customHeight="1" s="152">
      <c r="A96" s="19" t="n">
        <v>8.75</v>
      </c>
      <c r="B96" s="21" t="inlineStr">
        <is>
          <t>Skylights</t>
        </is>
      </c>
      <c r="C96" s="11" t="n"/>
      <c r="D96" s="12" t="inlineStr">
        <is>
          <t>per skylights</t>
        </is>
      </c>
      <c r="E96" s="14" t="n"/>
      <c r="F96" s="14" t="n"/>
      <c r="G96" s="14" t="n"/>
      <c r="H96" s="14" t="n"/>
      <c r="I96" s="15">
        <f>PRODUCT(C96*E96)</f>
        <v/>
      </c>
      <c r="J96" s="15">
        <f>PRODUCT(I96)*E$202</f>
        <v/>
      </c>
      <c r="K96" s="22">
        <f>SUM(I96:J96)</f>
        <v/>
      </c>
      <c r="L96" s="22">
        <f>(K96/C96)</f>
        <v/>
      </c>
      <c r="M96" s="20" t="n"/>
      <c r="N96" s="20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29.25" customHeight="1" s="152">
      <c r="A97" s="19" t="n"/>
      <c r="B97" s="23" t="n"/>
      <c r="C97" s="24" t="n"/>
      <c r="D97" s="25" t="n"/>
      <c r="E97" s="26" t="n"/>
      <c r="F97" s="26">
        <f>SUM(F91:F96)</f>
        <v/>
      </c>
      <c r="G97" s="26">
        <f>SUM(G91:G96)</f>
        <v/>
      </c>
      <c r="H97" s="26">
        <f>SUM(H91:H96)</f>
        <v/>
      </c>
      <c r="I97" s="26">
        <f>SUM(I91:I96)</f>
        <v/>
      </c>
      <c r="J97" s="26">
        <f>SUM(J91:J96)</f>
        <v/>
      </c>
      <c r="K97" s="26">
        <f>SUM(K91:K96)</f>
        <v/>
      </c>
      <c r="L97" s="26" t="n"/>
      <c r="M97" s="28" t="n"/>
      <c r="N97" s="28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29.25" customHeight="1" s="152">
      <c r="A98" s="19" t="n"/>
      <c r="B98" s="27" t="inlineStr">
        <is>
          <t>Division 9: Finishes</t>
        </is>
      </c>
      <c r="C98" s="11" t="n"/>
      <c r="D98" s="12" t="inlineStr">
        <is>
          <t>per division</t>
        </is>
      </c>
      <c r="E98" s="14" t="n"/>
      <c r="F98" s="14" t="n"/>
      <c r="G98" s="14" t="n"/>
      <c r="H98" s="14" t="n"/>
      <c r="I98" s="15" t="n"/>
      <c r="J98" s="15" t="n"/>
      <c r="K98" s="22" t="n"/>
      <c r="L98" s="22" t="n"/>
      <c r="M98" s="20" t="n"/>
      <c r="N98" s="20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29.25" customHeight="1" s="152">
      <c r="A99" s="19" t="n">
        <v>9.289999999999999</v>
      </c>
      <c r="B99" s="21" t="inlineStr">
        <is>
          <t xml:space="preserve">Drywall </t>
        </is>
      </c>
      <c r="C99" s="11" t="n"/>
      <c r="D99" s="12" t="inlineStr">
        <is>
          <t>sqft</t>
        </is>
      </c>
      <c r="E99" s="14" t="n"/>
      <c r="F99" s="14" t="n"/>
      <c r="G99" s="14" t="n"/>
      <c r="H99" s="14" t="n"/>
      <c r="I99" s="15">
        <f>PRODUCT(C99*E99)</f>
        <v/>
      </c>
      <c r="J99" s="15">
        <f>PRODUCT(I99)*E$202</f>
        <v/>
      </c>
      <c r="K99" s="22">
        <f>SUM(I99:J99)</f>
        <v/>
      </c>
      <c r="L99" s="22">
        <f>(K99/C99)</f>
        <v/>
      </c>
      <c r="M99" s="20" t="n"/>
      <c r="N99" s="20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29.25" customHeight="1" s="152">
      <c r="A100" s="19" t="n">
        <v>9.300000000000001</v>
      </c>
      <c r="B100" s="21" t="inlineStr">
        <is>
          <t>Tile Materials</t>
        </is>
      </c>
      <c r="C100" s="11" t="n"/>
      <c r="D100" s="12" t="inlineStr">
        <is>
          <t>sqft</t>
        </is>
      </c>
      <c r="E100" s="14" t="n"/>
      <c r="F100" s="14" t="n"/>
      <c r="G100" s="14" t="n"/>
      <c r="H100" s="14" t="n"/>
      <c r="I100" s="15">
        <f>PRODUCT(C100*E100)</f>
        <v/>
      </c>
      <c r="J100" s="15">
        <f>PRODUCT(I100)*E$202</f>
        <v/>
      </c>
      <c r="K100" s="22">
        <f>SUM(I100:J100)</f>
        <v/>
      </c>
      <c r="L100" s="22">
        <f>(K100/C100)</f>
        <v/>
      </c>
      <c r="M100" s="20" t="n"/>
      <c r="N100" s="20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29.25" customHeight="1" s="152">
      <c r="A101" s="19" t="n">
        <v>9.300000000000001</v>
      </c>
      <c r="B101" s="21" t="inlineStr">
        <is>
          <t>Tile Labor</t>
        </is>
      </c>
      <c r="C101" s="11" t="n"/>
      <c r="D101" s="12" t="inlineStr">
        <is>
          <t>per tile</t>
        </is>
      </c>
      <c r="E101" s="14" t="n"/>
      <c r="F101" s="14" t="n"/>
      <c r="G101" s="14" t="n"/>
      <c r="H101" s="14" t="n"/>
      <c r="I101" s="15">
        <f>PRODUCT(C101*E101)</f>
        <v/>
      </c>
      <c r="J101" s="15">
        <f>PRODUCT(I101)*E$202</f>
        <v/>
      </c>
      <c r="K101" s="22">
        <f>SUM(I101:J101)</f>
        <v/>
      </c>
      <c r="L101" s="22">
        <f>(K101/C101)</f>
        <v/>
      </c>
      <c r="M101" s="20" t="n"/>
      <c r="N101" s="20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29.25" customHeight="1" s="152">
      <c r="A102" s="19" t="n">
        <v>9.300000000000001</v>
      </c>
      <c r="B102" s="21" t="inlineStr">
        <is>
          <t>Shower Tile</t>
        </is>
      </c>
      <c r="C102" s="11" t="n"/>
      <c r="D102" s="12" t="inlineStr">
        <is>
          <t>sqft</t>
        </is>
      </c>
      <c r="E102" s="14" t="n"/>
      <c r="F102" s="14" t="n"/>
      <c r="G102" s="14" t="n"/>
      <c r="H102" s="14" t="n"/>
      <c r="I102" s="15">
        <f>PRODUCT(C102*E102)</f>
        <v/>
      </c>
      <c r="J102" s="15">
        <f>PRODUCT(I102)*E$202</f>
        <v/>
      </c>
      <c r="K102" s="22">
        <f>SUM(I102:J102)</f>
        <v/>
      </c>
      <c r="L102" s="22">
        <f>(K102/C102)</f>
        <v/>
      </c>
      <c r="M102" s="20" t="n"/>
      <c r="N102" s="20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29.25" customHeight="1" s="152">
      <c r="A103" s="19" t="n">
        <v>9.300000000000001</v>
      </c>
      <c r="B103" s="21" t="inlineStr">
        <is>
          <t>Shower Labor</t>
        </is>
      </c>
      <c r="C103" s="11" t="n"/>
      <c r="D103" s="12" t="inlineStr">
        <is>
          <t>sqft</t>
        </is>
      </c>
      <c r="E103" s="14" t="n"/>
      <c r="F103" s="14" t="n"/>
      <c r="G103" s="14" t="n"/>
      <c r="H103" s="14" t="n"/>
      <c r="I103" s="15">
        <f>PRODUCT(C103*E103)</f>
        <v/>
      </c>
      <c r="J103" s="15">
        <f>PRODUCT(I103)*E$202</f>
        <v/>
      </c>
      <c r="K103" s="22">
        <f>SUM(I103:J103)</f>
        <v/>
      </c>
      <c r="L103" s="22">
        <f>(K103/C103)</f>
        <v/>
      </c>
      <c r="M103" s="20" t="n"/>
      <c r="N103" s="20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29.25" customHeight="1" s="152">
      <c r="A104" s="19" t="inlineStr">
        <is>
          <t>9.61.19</t>
        </is>
      </c>
      <c r="B104" s="21" t="inlineStr">
        <is>
          <t>Concrete Floor Staining/Scoring Material</t>
        </is>
      </c>
      <c r="C104" s="11" t="n"/>
      <c r="D104" s="12" t="inlineStr">
        <is>
          <t>SQFT</t>
        </is>
      </c>
      <c r="E104" s="14" t="n"/>
      <c r="F104" s="14" t="n"/>
      <c r="G104" s="14" t="n"/>
      <c r="H104" s="14" t="n"/>
      <c r="I104" s="15">
        <f>PRODUCT(C104*E104)</f>
        <v/>
      </c>
      <c r="J104" s="15">
        <f>PRODUCT(I104)*E$202</f>
        <v/>
      </c>
      <c r="K104" s="22">
        <f>SUM(I104:J104)</f>
        <v/>
      </c>
      <c r="L104" s="22">
        <f>(K104/C104)</f>
        <v/>
      </c>
      <c r="M104" s="20" t="n"/>
      <c r="N104" s="20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29.25" customHeight="1" s="152">
      <c r="A105" s="19" t="inlineStr">
        <is>
          <t>9.61.19</t>
        </is>
      </c>
      <c r="B105" s="39" t="inlineStr">
        <is>
          <t>Concrete Floor Staining/Scoring Labor</t>
        </is>
      </c>
      <c r="C105" s="11" t="n"/>
      <c r="D105" s="12" t="inlineStr">
        <is>
          <t>SQFT</t>
        </is>
      </c>
      <c r="E105" s="14" t="n"/>
      <c r="F105" s="14" t="n"/>
      <c r="G105" s="14" t="n"/>
      <c r="H105" s="14" t="n"/>
      <c r="I105" s="15">
        <f>PRODUCT(C105*E105)</f>
        <v/>
      </c>
      <c r="J105" s="15">
        <f>PRODUCT(I105)*E$202</f>
        <v/>
      </c>
      <c r="K105" s="22">
        <f>SUM(I105:J105)</f>
        <v/>
      </c>
      <c r="L105" s="22">
        <f>(K105/C105)</f>
        <v/>
      </c>
      <c r="M105" s="20" t="n"/>
      <c r="N105" s="20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29.25" customHeight="1" s="152">
      <c r="A106" s="19" t="n">
        <v>9.640000000000001</v>
      </c>
      <c r="B106" s="21" t="inlineStr">
        <is>
          <t>LVT Flooring - Materials</t>
        </is>
      </c>
      <c r="C106" s="11" t="n"/>
      <c r="D106" s="12" t="inlineStr">
        <is>
          <t>SQFT</t>
        </is>
      </c>
      <c r="E106" s="14" t="n"/>
      <c r="F106" s="14" t="n"/>
      <c r="G106" s="14" t="n"/>
      <c r="H106" s="14" t="n"/>
      <c r="I106" s="15">
        <f>PRODUCT(C106*E106)</f>
        <v/>
      </c>
      <c r="J106" s="15">
        <f>PRODUCT(I106)*E$202</f>
        <v/>
      </c>
      <c r="K106" s="22">
        <f>SUM(I106:J106)</f>
        <v/>
      </c>
      <c r="L106" s="22">
        <f>(K106/C106)</f>
        <v/>
      </c>
      <c r="M106" s="20" t="n"/>
      <c r="N106" s="20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29.25" customHeight="1" s="152">
      <c r="A107" s="19" t="n">
        <v>9.640000000000001</v>
      </c>
      <c r="B107" s="21" t="inlineStr">
        <is>
          <t>LVT Flooring - Labor</t>
        </is>
      </c>
      <c r="C107" s="11" t="n"/>
      <c r="D107" s="12" t="inlineStr">
        <is>
          <t>SQFT</t>
        </is>
      </c>
      <c r="E107" s="14" t="n"/>
      <c r="F107" s="14" t="n"/>
      <c r="G107" s="14" t="n"/>
      <c r="H107" s="14" t="n"/>
      <c r="I107" s="15">
        <f>PRODUCT(C107*E107)</f>
        <v/>
      </c>
      <c r="J107" s="15">
        <f>PRODUCT(I107)*E$202</f>
        <v/>
      </c>
      <c r="K107" s="22">
        <f>SUM(I107:J107)</f>
        <v/>
      </c>
      <c r="L107" s="22">
        <f>(K107/C107)</f>
        <v/>
      </c>
      <c r="M107" s="20" t="n"/>
      <c r="N107" s="20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29.25" customHeight="1" s="152">
      <c r="A108" s="19" t="n">
        <v>9.68</v>
      </c>
      <c r="B108" s="21" t="inlineStr">
        <is>
          <t>Backsplash Tile Materails</t>
        </is>
      </c>
      <c r="C108" s="41" t="n"/>
      <c r="D108" s="12" t="inlineStr">
        <is>
          <t>SQFT</t>
        </is>
      </c>
      <c r="E108" s="29" t="n"/>
      <c r="F108" s="29" t="n"/>
      <c r="G108" s="29" t="n"/>
      <c r="H108" s="29" t="n"/>
      <c r="I108" s="15">
        <f>PRODUCT(C108*E108)</f>
        <v/>
      </c>
      <c r="J108" s="15">
        <f>PRODUCT(I108)*E$202</f>
        <v/>
      </c>
      <c r="K108" s="22">
        <f>SUM(I108:J108)</f>
        <v/>
      </c>
      <c r="L108" s="22">
        <f>(K108/C108)</f>
        <v/>
      </c>
      <c r="M108" s="20" t="n"/>
      <c r="N108" s="20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29.25" customHeight="1" s="152">
      <c r="A109" s="19" t="n">
        <v>9.68</v>
      </c>
      <c r="B109" s="21" t="inlineStr">
        <is>
          <t>Backsplash Tile Labor</t>
        </is>
      </c>
      <c r="C109" s="11" t="n"/>
      <c r="D109" s="12" t="inlineStr">
        <is>
          <t>SQFT</t>
        </is>
      </c>
      <c r="E109" s="14" t="n"/>
      <c r="F109" s="14" t="n"/>
      <c r="G109" s="14" t="n"/>
      <c r="H109" s="14" t="n"/>
      <c r="I109" s="15">
        <f>PRODUCT(C109*E109)</f>
        <v/>
      </c>
      <c r="J109" s="15">
        <f>PRODUCT(I109)*E$202</f>
        <v/>
      </c>
      <c r="K109" s="22">
        <f>SUM(I109:J109)</f>
        <v/>
      </c>
      <c r="L109" s="22">
        <f>(K109/C109)</f>
        <v/>
      </c>
      <c r="M109" s="20" t="n"/>
      <c r="N109" s="20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29.25" customHeight="1" s="152">
      <c r="A110" s="19" t="inlineStr">
        <is>
          <t>9.91.13</t>
        </is>
      </c>
      <c r="B110" s="21" t="inlineStr">
        <is>
          <t>Exterior Paint Material</t>
        </is>
      </c>
      <c r="C110" s="11" t="n"/>
      <c r="D110" s="12" t="inlineStr">
        <is>
          <t>per exterior</t>
        </is>
      </c>
      <c r="E110" s="14" t="n"/>
      <c r="F110" s="14" t="n"/>
      <c r="G110" s="14" t="n"/>
      <c r="H110" s="14" t="n"/>
      <c r="I110" s="15">
        <f>PRODUCT(C110*E110)</f>
        <v/>
      </c>
      <c r="J110" s="15">
        <f>PRODUCT(I110)*E$202</f>
        <v/>
      </c>
      <c r="K110" s="22">
        <f>SUM(I110:J110)</f>
        <v/>
      </c>
      <c r="L110" s="22">
        <f>(K110/C110)</f>
        <v/>
      </c>
      <c r="M110" s="20" t="n"/>
      <c r="N110" s="20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29.25" customHeight="1" s="152">
      <c r="A111" s="19" t="inlineStr">
        <is>
          <t>9.91.13</t>
        </is>
      </c>
      <c r="B111" s="21" t="inlineStr">
        <is>
          <t>Exterior Paint Labor</t>
        </is>
      </c>
      <c r="C111" s="11" t="n"/>
      <c r="D111" s="12" t="inlineStr">
        <is>
          <t>per exterior</t>
        </is>
      </c>
      <c r="E111" s="14" t="n"/>
      <c r="F111" s="14" t="n"/>
      <c r="G111" s="14" t="n"/>
      <c r="H111" s="14" t="n"/>
      <c r="I111" s="15">
        <f>PRODUCT(C111*E111)</f>
        <v/>
      </c>
      <c r="J111" s="15">
        <f>PRODUCT(I111)*E$202</f>
        <v/>
      </c>
      <c r="K111" s="22">
        <f>SUM(I111:J111)</f>
        <v/>
      </c>
      <c r="L111" s="22">
        <f>(K111/C111)</f>
        <v/>
      </c>
      <c r="M111" s="20" t="n"/>
      <c r="N111" s="20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29.25" customHeight="1" s="152">
      <c r="A112" s="19" t="inlineStr">
        <is>
          <t>9.91.23</t>
        </is>
      </c>
      <c r="B112" s="21" t="inlineStr">
        <is>
          <t>Interior Paint Material</t>
        </is>
      </c>
      <c r="C112" s="41" t="n"/>
      <c r="D112" s="12" t="inlineStr">
        <is>
          <t>per interior</t>
        </is>
      </c>
      <c r="E112" s="29" t="n"/>
      <c r="F112" s="29" t="n"/>
      <c r="G112" s="29" t="n"/>
      <c r="H112" s="29" t="n"/>
      <c r="I112" s="15">
        <f>PRODUCT(C112*E112)</f>
        <v/>
      </c>
      <c r="J112" s="15">
        <f>PRODUCT(I112)*E$202</f>
        <v/>
      </c>
      <c r="K112" s="22">
        <f>SUM(I112:J112)</f>
        <v/>
      </c>
      <c r="L112" s="22">
        <f>(K112/C112)</f>
        <v/>
      </c>
      <c r="M112" s="20" t="n"/>
      <c r="N112" s="20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29.25" customHeight="1" s="152">
      <c r="A113" s="19" t="inlineStr">
        <is>
          <t>9.91.23</t>
        </is>
      </c>
      <c r="B113" s="39" t="inlineStr">
        <is>
          <t>Interior Paint Labor</t>
        </is>
      </c>
      <c r="C113" s="11" t="n"/>
      <c r="D113" s="12" t="inlineStr">
        <is>
          <t>per interior</t>
        </is>
      </c>
      <c r="E113" s="14" t="n"/>
      <c r="F113" s="14" t="n"/>
      <c r="G113" s="14" t="n"/>
      <c r="H113" s="14" t="n"/>
      <c r="I113" s="15">
        <f>PRODUCT(C113*E113)</f>
        <v/>
      </c>
      <c r="J113" s="15">
        <f>PRODUCT(I113)*E$202</f>
        <v/>
      </c>
      <c r="K113" s="22">
        <f>SUM(I113:J113)</f>
        <v/>
      </c>
      <c r="L113" s="22">
        <f>(K113/C113)</f>
        <v/>
      </c>
      <c r="M113" s="20" t="n"/>
      <c r="N113" s="20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29.25" customHeight="1" s="152">
      <c r="A114" s="19" t="n"/>
      <c r="B114" s="23" t="n"/>
      <c r="C114" s="24" t="n"/>
      <c r="D114" s="25" t="n"/>
      <c r="E114" s="26" t="n"/>
      <c r="F114" s="26">
        <f>SUM(F99:F113)</f>
        <v/>
      </c>
      <c r="G114" s="26">
        <f>SUM(G99:G113)</f>
        <v/>
      </c>
      <c r="H114" s="26">
        <f>SUM(H99:H113)</f>
        <v/>
      </c>
      <c r="I114" s="26">
        <f>SUM(I99:I113)</f>
        <v/>
      </c>
      <c r="J114" s="26">
        <f>SUM(J99:J113)</f>
        <v/>
      </c>
      <c r="K114" s="26">
        <f>SUM(K99:K113)</f>
        <v/>
      </c>
      <c r="L114" s="26" t="n"/>
      <c r="M114" s="28" t="n">
        <v>48975.75</v>
      </c>
      <c r="N114" s="28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29.25" customHeight="1" s="152">
      <c r="A115" s="19" t="n"/>
      <c r="B115" s="27" t="inlineStr">
        <is>
          <t>Division 10:  Specialties</t>
        </is>
      </c>
      <c r="C115" s="11" t="n"/>
      <c r="D115" s="12" t="inlineStr">
        <is>
          <t>per division</t>
        </is>
      </c>
      <c r="E115" s="14" t="n"/>
      <c r="F115" s="14" t="n"/>
      <c r="G115" s="14" t="n"/>
      <c r="H115" s="14" t="n"/>
      <c r="I115" s="15" t="n"/>
      <c r="J115" s="15" t="n"/>
      <c r="K115" s="22" t="n"/>
      <c r="L115" s="22" t="n"/>
      <c r="M115" s="20" t="n"/>
      <c r="N115" s="20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29.25" customHeight="1" s="152">
      <c r="A116" s="19" t="inlineStr">
        <is>
          <t>10.28.19.16</t>
        </is>
      </c>
      <c r="B116" s="21" t="inlineStr">
        <is>
          <t>Shower Door (Included Material &amp; Labor)</t>
        </is>
      </c>
      <c r="C116" s="11" t="n"/>
      <c r="D116" s="12" t="inlineStr">
        <is>
          <t>per shower</t>
        </is>
      </c>
      <c r="E116" s="14" t="n"/>
      <c r="F116" s="14" t="n"/>
      <c r="G116" s="14" t="n"/>
      <c r="H116" s="14" t="n"/>
      <c r="I116" s="15">
        <f>PRODUCT(C116*E116)</f>
        <v/>
      </c>
      <c r="J116" s="15">
        <f>PRODUCT(I116)*E$202</f>
        <v/>
      </c>
      <c r="K116" s="22">
        <f>SUM(I116:J116)</f>
        <v/>
      </c>
      <c r="L116" s="22">
        <f>(K116/C116)</f>
        <v/>
      </c>
      <c r="M116" s="20" t="n"/>
      <c r="N116" s="20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29.25" customHeight="1" s="152">
      <c r="A117" s="19" t="n">
        <v>10.32</v>
      </c>
      <c r="B117" s="21" t="inlineStr">
        <is>
          <t>Fireplace Material</t>
        </is>
      </c>
      <c r="C117" s="11" t="n"/>
      <c r="D117" s="12" t="inlineStr">
        <is>
          <t>per fireplace</t>
        </is>
      </c>
      <c r="E117" s="14" t="n"/>
      <c r="F117" s="14" t="n"/>
      <c r="G117" s="14" t="n"/>
      <c r="H117" s="14" t="n"/>
      <c r="I117" s="15">
        <f>PRODUCT(C117*E117)</f>
        <v/>
      </c>
      <c r="J117" s="15">
        <f>PRODUCT(I117)*E$202</f>
        <v/>
      </c>
      <c r="K117" s="22">
        <f>SUM(I117:J117)</f>
        <v/>
      </c>
      <c r="L117" s="22">
        <f>(K117/C117)</f>
        <v/>
      </c>
      <c r="M117" s="20" t="n"/>
      <c r="N117" s="20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29.25" customHeight="1" s="152">
      <c r="A118" s="19" t="n">
        <v>10.32</v>
      </c>
      <c r="B118" s="21" t="inlineStr">
        <is>
          <t>Fireplace Labor</t>
        </is>
      </c>
      <c r="C118" s="11" t="n"/>
      <c r="D118" s="12" t="inlineStr">
        <is>
          <t>per fireplace</t>
        </is>
      </c>
      <c r="E118" s="14" t="n"/>
      <c r="F118" s="14" t="n"/>
      <c r="G118" s="14" t="n"/>
      <c r="H118" s="14" t="n"/>
      <c r="I118" s="15">
        <f>PRODUCT(C118*E118)</f>
        <v/>
      </c>
      <c r="J118" s="15">
        <f>PRODUCT(I118)*E$202</f>
        <v/>
      </c>
      <c r="K118" s="22">
        <f>SUM(I118:J118)</f>
        <v/>
      </c>
      <c r="L118" s="22">
        <f>(K118/C118)</f>
        <v/>
      </c>
      <c r="M118" s="20" t="n"/>
      <c r="N118" s="20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29.25" customHeight="1" s="152">
      <c r="A119" s="19" t="inlineStr">
        <is>
          <t>10.57.23</t>
        </is>
      </c>
      <c r="B119" s="21" t="inlineStr">
        <is>
          <t>Closet Shelving Labor</t>
        </is>
      </c>
      <c r="C119" s="11" t="n"/>
      <c r="D119" s="12" t="inlineStr">
        <is>
          <t>lft</t>
        </is>
      </c>
      <c r="E119" s="14" t="n"/>
      <c r="F119" s="14" t="n"/>
      <c r="G119" s="14" t="n"/>
      <c r="H119" s="14" t="n"/>
      <c r="I119" s="15">
        <f>PRODUCT(C119*E119)</f>
        <v/>
      </c>
      <c r="J119" s="15">
        <f>PRODUCT(I119)*E$202</f>
        <v/>
      </c>
      <c r="K119" s="22">
        <f>SUM(I119:J119)</f>
        <v/>
      </c>
      <c r="L119" s="22">
        <f>(K119/C119)</f>
        <v/>
      </c>
      <c r="M119" s="20" t="n"/>
      <c r="N119" s="20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29.25" customHeight="1" s="152">
      <c r="A120" s="19" t="inlineStr">
        <is>
          <t>10.57.23</t>
        </is>
      </c>
      <c r="B120" s="21" t="inlineStr">
        <is>
          <t>Closet Shelving Material</t>
        </is>
      </c>
      <c r="C120" s="11" t="n"/>
      <c r="D120" s="12" t="inlineStr">
        <is>
          <t>lft</t>
        </is>
      </c>
      <c r="E120" s="14" t="n"/>
      <c r="F120" s="14" t="n"/>
      <c r="G120" s="14" t="n"/>
      <c r="H120" s="14" t="n"/>
      <c r="I120" s="15">
        <f>PRODUCT(C120*E120)</f>
        <v/>
      </c>
      <c r="J120" s="15">
        <f>PRODUCT(I120)*E$202</f>
        <v/>
      </c>
      <c r="K120" s="22">
        <f>SUM(I120:J120)</f>
        <v/>
      </c>
      <c r="L120" s="22">
        <f>(K120/C120)</f>
        <v/>
      </c>
      <c r="M120" s="20" t="n"/>
      <c r="N120" s="20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29.25" customHeight="1" s="152">
      <c r="A121" s="19" t="inlineStr">
        <is>
          <t>10.57.33</t>
        </is>
      </c>
      <c r="B121" s="21" t="inlineStr">
        <is>
          <t>Built in Bunk Beds</t>
        </is>
      </c>
      <c r="C121" s="11" t="n"/>
      <c r="D121" s="12" t="inlineStr">
        <is>
          <t>per built</t>
        </is>
      </c>
      <c r="E121" s="14" t="n"/>
      <c r="F121" s="14" t="n"/>
      <c r="G121" s="14" t="n"/>
      <c r="H121" s="14" t="n"/>
      <c r="I121" s="15">
        <f>PRODUCT(C121*E121)</f>
        <v/>
      </c>
      <c r="J121" s="15">
        <f>PRODUCT(I121)*E$202</f>
        <v/>
      </c>
      <c r="K121" s="22">
        <f>SUM(I121:J121)</f>
        <v/>
      </c>
      <c r="L121" s="22">
        <f>(K121/C121)</f>
        <v/>
      </c>
      <c r="M121" s="20" t="n"/>
      <c r="N121" s="20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29.25" customHeight="1" s="152">
      <c r="A122" s="19" t="inlineStr">
        <is>
          <t>10.84.13</t>
        </is>
      </c>
      <c r="B122" s="21" t="inlineStr">
        <is>
          <t>Radiant Floor heating</t>
        </is>
      </c>
      <c r="C122" s="11" t="n"/>
      <c r="D122" s="12" t="inlineStr">
        <is>
          <t>per radiant</t>
        </is>
      </c>
      <c r="E122" s="14" t="n"/>
      <c r="F122" s="14" t="n"/>
      <c r="G122" s="14" t="n"/>
      <c r="H122" s="14" t="n"/>
      <c r="I122" s="15">
        <f>PRODUCT(C122*E122)</f>
        <v/>
      </c>
      <c r="J122" s="15">
        <f>PRODUCT(I122)*E$202</f>
        <v/>
      </c>
      <c r="K122" s="22">
        <f>SUM(I122:J122)</f>
        <v/>
      </c>
      <c r="L122" s="22">
        <f>(K122/C122)</f>
        <v/>
      </c>
      <c r="M122" s="20" t="n"/>
      <c r="N122" s="20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29.25" customHeight="1" s="152">
      <c r="A123" s="19" t="n"/>
      <c r="B123" s="23" t="n"/>
      <c r="C123" s="24" t="n"/>
      <c r="D123" s="25" t="n"/>
      <c r="E123" s="26" t="n"/>
      <c r="F123" s="26">
        <f>SUM(F116:F122)</f>
        <v/>
      </c>
      <c r="G123" s="26">
        <f>SUM(G116:G122)</f>
        <v/>
      </c>
      <c r="H123" s="26">
        <f>SUM(H116:H122)</f>
        <v/>
      </c>
      <c r="I123" s="26">
        <f>SUM(I116:I122)</f>
        <v/>
      </c>
      <c r="J123" s="26">
        <f>SUM(J116:J122)</f>
        <v/>
      </c>
      <c r="K123" s="26">
        <f>SUM(K116:K122)</f>
        <v/>
      </c>
      <c r="L123" s="26" t="n"/>
      <c r="M123" s="28" t="n">
        <v>1420</v>
      </c>
      <c r="N123" s="28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29.25" customHeight="1" s="152">
      <c r="A124" s="19" t="n"/>
      <c r="B124" s="42" t="inlineStr">
        <is>
          <t>Division 11: Equipment</t>
        </is>
      </c>
      <c r="C124" s="11" t="n"/>
      <c r="D124" s="12" t="inlineStr">
        <is>
          <t>per division</t>
        </is>
      </c>
      <c r="E124" s="14" t="n"/>
      <c r="F124" s="14" t="n"/>
      <c r="G124" s="14" t="n"/>
      <c r="H124" s="14" t="n"/>
      <c r="I124" s="15" t="n"/>
      <c r="J124" s="15" t="n"/>
      <c r="K124" s="22" t="n"/>
      <c r="L124" s="22" t="n"/>
      <c r="M124" s="20" t="n"/>
      <c r="N124" s="20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29.25" customHeight="1" s="152">
      <c r="A125" s="19" t="inlineStr">
        <is>
          <t>11.30.13.13</t>
        </is>
      </c>
      <c r="B125" s="37" t="inlineStr">
        <is>
          <t>Kitchen Appliances</t>
        </is>
      </c>
      <c r="C125" s="11" t="n"/>
      <c r="D125" s="12" t="inlineStr">
        <is>
          <t>per kitchen</t>
        </is>
      </c>
      <c r="E125" s="14" t="n"/>
      <c r="F125" s="14" t="n"/>
      <c r="G125" s="14" t="n"/>
      <c r="H125" s="14" t="n"/>
      <c r="I125" s="15">
        <f>PRODUCT(C125*E125)</f>
        <v/>
      </c>
      <c r="J125" s="15">
        <f>PRODUCT(I125)*E$202</f>
        <v/>
      </c>
      <c r="K125" s="22">
        <f>SUM(I125:J125)</f>
        <v/>
      </c>
      <c r="L125" s="22">
        <f>(K125/C125)</f>
        <v/>
      </c>
      <c r="M125" s="20" t="n"/>
      <c r="N125" s="20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29.25" customHeight="1" s="152">
      <c r="A126" s="19" t="inlineStr">
        <is>
          <t>11.30.13.13</t>
        </is>
      </c>
      <c r="B126" s="37" t="inlineStr">
        <is>
          <t>Laundry Appliances</t>
        </is>
      </c>
      <c r="C126" s="11" t="n"/>
      <c r="D126" s="12" t="inlineStr">
        <is>
          <t>per laundry</t>
        </is>
      </c>
      <c r="E126" s="14" t="n"/>
      <c r="F126" s="14" t="n"/>
      <c r="G126" s="14" t="n"/>
      <c r="H126" s="14" t="n"/>
      <c r="I126" s="15">
        <f>PRODUCT(C126*E126)</f>
        <v/>
      </c>
      <c r="J126" s="15">
        <f>PRODUCT(I126)*E$202</f>
        <v/>
      </c>
      <c r="K126" s="22">
        <f>SUM(I126:J126)</f>
        <v/>
      </c>
      <c r="L126" s="22">
        <f>(K126/C126)</f>
        <v/>
      </c>
      <c r="M126" s="20" t="n"/>
      <c r="N126" s="20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29.25" customHeight="1" s="152">
      <c r="A127" s="19" t="inlineStr">
        <is>
          <t>11.30.33</t>
        </is>
      </c>
      <c r="B127" s="37" t="inlineStr">
        <is>
          <t>Attic Stairs</t>
        </is>
      </c>
      <c r="C127" s="11" t="n"/>
      <c r="D127" s="12" t="inlineStr">
        <is>
          <t>per attic</t>
        </is>
      </c>
      <c r="E127" s="14" t="n"/>
      <c r="F127" s="14" t="n"/>
      <c r="G127" s="14" t="n"/>
      <c r="H127" s="14" t="n"/>
      <c r="I127" s="15">
        <f>PRODUCT(C127*E127)</f>
        <v/>
      </c>
      <c r="J127" s="15">
        <f>PRODUCT(I127)*E$202</f>
        <v/>
      </c>
      <c r="K127" s="22">
        <f>SUM(I127:J127)</f>
        <v/>
      </c>
      <c r="L127" s="22">
        <f>(K127/C127)</f>
        <v/>
      </c>
      <c r="M127" s="20" t="n"/>
      <c r="N127" s="20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29.25" customHeight="1" s="152">
      <c r="A128" s="19" t="inlineStr">
        <is>
          <t>11.81.19</t>
        </is>
      </c>
      <c r="B128" s="37" t="inlineStr">
        <is>
          <t>Central Vac System</t>
        </is>
      </c>
      <c r="C128" s="43" t="n"/>
      <c r="D128" s="12" t="inlineStr">
        <is>
          <t>per central</t>
        </is>
      </c>
      <c r="E128" s="44" t="n"/>
      <c r="F128" s="14" t="n"/>
      <c r="G128" s="14" t="n"/>
      <c r="H128" s="14" t="n"/>
      <c r="I128" s="15">
        <f>PRODUCT(C128*E128)</f>
        <v/>
      </c>
      <c r="J128" s="15">
        <f>PRODUCT(I128)*E$202</f>
        <v/>
      </c>
      <c r="K128" s="22">
        <f>SUM(I128:J128)</f>
        <v/>
      </c>
      <c r="L128" s="22">
        <f>(K128/C128)</f>
        <v/>
      </c>
      <c r="M128" s="20" t="n"/>
      <c r="N128" s="20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29.25" customHeight="1" s="152">
      <c r="A129" s="19" t="n"/>
      <c r="B129" s="23" t="n"/>
      <c r="C129" s="45" t="n"/>
      <c r="D129" s="46" t="n"/>
      <c r="E129" s="28" t="n"/>
      <c r="F129" s="28">
        <f>SUM(F125:F128)</f>
        <v/>
      </c>
      <c r="G129" s="28">
        <f>SUM(G125:G128)</f>
        <v/>
      </c>
      <c r="H129" s="28">
        <f>SUM(H125:H128)</f>
        <v/>
      </c>
      <c r="I129" s="28">
        <f>SUM(I125:I128)</f>
        <v/>
      </c>
      <c r="J129" s="28">
        <f>SUM(J125:J128)</f>
        <v/>
      </c>
      <c r="K129" s="28">
        <f>SUM(K125:K128)</f>
        <v/>
      </c>
      <c r="L129" s="28" t="n"/>
      <c r="M129" s="28" t="n"/>
      <c r="N129" s="28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29.25" customHeight="1" s="152">
      <c r="A130" s="19" t="n"/>
      <c r="B130" s="27" t="inlineStr">
        <is>
          <t>Division 12: Furnishings</t>
        </is>
      </c>
      <c r="C130" s="47" t="n"/>
      <c r="D130" s="12" t="inlineStr">
        <is>
          <t>per division</t>
        </is>
      </c>
      <c r="E130" s="48" t="n"/>
      <c r="F130" s="29" t="n"/>
      <c r="G130" s="29" t="n"/>
      <c r="H130" s="29" t="n"/>
      <c r="I130" s="22" t="n"/>
      <c r="J130" s="22" t="n"/>
      <c r="K130" s="22" t="n"/>
      <c r="L130" s="22" t="n"/>
      <c r="M130" s="20" t="n"/>
      <c r="N130" s="20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29.25" customHeight="1" s="152">
      <c r="A131" s="19" t="n">
        <v>12.21</v>
      </c>
      <c r="B131" s="21" t="inlineStr">
        <is>
          <t>Extras</t>
        </is>
      </c>
      <c r="C131" s="47" t="n"/>
      <c r="D131" s="12" t="inlineStr">
        <is>
          <t>per</t>
        </is>
      </c>
      <c r="E131" s="48" t="n"/>
      <c r="F131" s="29" t="n"/>
      <c r="G131" s="29" t="n"/>
      <c r="H131" s="29" t="n"/>
      <c r="I131" s="22">
        <f>PRODUCT(C131*E131)</f>
        <v/>
      </c>
      <c r="J131" s="22">
        <f>PRODUCT(I131)*E$202</f>
        <v/>
      </c>
      <c r="K131" s="22">
        <f>SUM(I131:J131)</f>
        <v/>
      </c>
      <c r="L131" s="22">
        <f>(K131/C131)</f>
        <v/>
      </c>
      <c r="M131" s="20" t="n"/>
      <c r="N131" s="20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29.25" customHeight="1" s="152">
      <c r="A132" s="19" t="inlineStr">
        <is>
          <t>12.35.30</t>
        </is>
      </c>
      <c r="B132" s="21" t="inlineStr">
        <is>
          <t>Built-ins</t>
        </is>
      </c>
      <c r="C132" s="47" t="n"/>
      <c r="D132" s="12" t="inlineStr">
        <is>
          <t>lft</t>
        </is>
      </c>
      <c r="E132" s="48" t="n"/>
      <c r="F132" s="29" t="n"/>
      <c r="G132" s="29" t="n"/>
      <c r="H132" s="29" t="n"/>
      <c r="I132" s="22">
        <f>PRODUCT(C132*E132)</f>
        <v/>
      </c>
      <c r="J132" s="22">
        <f>PRODUCT(I132)*E$202</f>
        <v/>
      </c>
      <c r="K132" s="22">
        <f>SUM(I132:J132)</f>
        <v/>
      </c>
      <c r="L132" s="22">
        <f>(K132/C132)</f>
        <v/>
      </c>
      <c r="M132" s="20" t="n"/>
      <c r="N132" s="20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29.25" customHeight="1" s="152">
      <c r="A133" s="19" t="inlineStr">
        <is>
          <t>12.35.30.13</t>
        </is>
      </c>
      <c r="B133" s="21" t="inlineStr">
        <is>
          <t>Kitchen Cabinets</t>
        </is>
      </c>
      <c r="C133" s="41" t="n"/>
      <c r="D133" s="12" t="inlineStr">
        <is>
          <t>lft</t>
        </is>
      </c>
      <c r="E133" s="29" t="n"/>
      <c r="F133" s="29" t="n"/>
      <c r="G133" s="29" t="n"/>
      <c r="H133" s="29" t="n"/>
      <c r="I133" s="22">
        <f>PRODUCT(C133*E133)</f>
        <v/>
      </c>
      <c r="J133" s="22">
        <f>PRODUCT(I133)*E$202</f>
        <v/>
      </c>
      <c r="K133" s="22">
        <f>SUM(I133:J133)</f>
        <v/>
      </c>
      <c r="L133" s="22">
        <f>(K133/C133)</f>
        <v/>
      </c>
      <c r="M133" s="20" t="n"/>
      <c r="N133" s="20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29.25" customHeight="1" s="152">
      <c r="A134" s="19" t="inlineStr">
        <is>
          <t>12.35.30.23</t>
        </is>
      </c>
      <c r="B134" s="21" t="inlineStr">
        <is>
          <t>Bathroom Vanities</t>
        </is>
      </c>
      <c r="C134" s="41" t="n"/>
      <c r="D134" s="12" t="inlineStr">
        <is>
          <t>per bathroom</t>
        </is>
      </c>
      <c r="E134" s="48" t="n"/>
      <c r="F134" s="29" t="n"/>
      <c r="G134" s="29" t="n"/>
      <c r="H134" s="29" t="n"/>
      <c r="I134" s="22">
        <f>PRODUCT(C134*E134)</f>
        <v/>
      </c>
      <c r="J134" s="22">
        <f>PRODUCT(I134)*E$202</f>
        <v/>
      </c>
      <c r="K134" s="22">
        <f>SUM(I134:J134)</f>
        <v/>
      </c>
      <c r="L134" s="22">
        <f>(K134/C134)</f>
        <v/>
      </c>
      <c r="M134" s="20" t="n"/>
      <c r="N134" s="20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29.25" customHeight="1" s="152">
      <c r="A135" s="19" t="inlineStr">
        <is>
          <t>12.35.33</t>
        </is>
      </c>
      <c r="B135" s="21" t="inlineStr">
        <is>
          <t>Laundry Cabinets</t>
        </is>
      </c>
      <c r="C135" s="41" t="n"/>
      <c r="D135" s="12" t="inlineStr">
        <is>
          <t>per laundry</t>
        </is>
      </c>
      <c r="E135" s="48" t="n"/>
      <c r="F135" s="29" t="n"/>
      <c r="G135" s="29" t="n"/>
      <c r="H135" s="29" t="n"/>
      <c r="I135" s="22">
        <f>PRODUCT(C135*E135)</f>
        <v/>
      </c>
      <c r="J135" s="22">
        <f>PRODUCT(I135)*E$202</f>
        <v/>
      </c>
      <c r="K135" s="22">
        <f>SUM(I135:J135)</f>
        <v/>
      </c>
      <c r="L135" s="22">
        <f>(K135/C135)</f>
        <v/>
      </c>
      <c r="M135" s="20" t="n"/>
      <c r="N135" s="20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29.25" customHeight="1" s="152">
      <c r="A136" s="19" t="n">
        <v>12.36</v>
      </c>
      <c r="B136" s="21" t="inlineStr">
        <is>
          <t>Countertop Material</t>
        </is>
      </c>
      <c r="C136" s="41" t="n"/>
      <c r="D136" s="12" t="inlineStr">
        <is>
          <t>sqft</t>
        </is>
      </c>
      <c r="E136" s="29" t="n"/>
      <c r="F136" s="29" t="n"/>
      <c r="G136" s="29" t="n"/>
      <c r="H136" s="29" t="n"/>
      <c r="I136" s="22">
        <f>PRODUCT(C136*E136)</f>
        <v/>
      </c>
      <c r="J136" s="22">
        <f>PRODUCT(I136)*E$202</f>
        <v/>
      </c>
      <c r="K136" s="22">
        <f>SUM(I136:J136)</f>
        <v/>
      </c>
      <c r="L136" s="22">
        <f>(K136/C136)</f>
        <v/>
      </c>
      <c r="M136" s="20" t="n"/>
      <c r="N136" s="20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29.25" customHeight="1" s="152">
      <c r="A137" s="19" t="n">
        <v>12.36</v>
      </c>
      <c r="B137" s="21" t="inlineStr">
        <is>
          <t>Countertop Labor</t>
        </is>
      </c>
      <c r="C137" s="41" t="n"/>
      <c r="D137" s="12" t="n">
        <v>60</v>
      </c>
      <c r="E137" s="49" t="n"/>
      <c r="F137" s="140" t="n"/>
      <c r="G137" s="50" t="n"/>
      <c r="H137" s="50" t="n"/>
      <c r="I137" s="22">
        <f>PRODUCT(C137*E137)</f>
        <v/>
      </c>
      <c r="J137" s="22">
        <f>PRODUCT(I137)*E$202</f>
        <v/>
      </c>
      <c r="K137" s="22">
        <f>SUM(I137:J137)</f>
        <v/>
      </c>
      <c r="L137" s="22">
        <f>(K137/C137)</f>
        <v/>
      </c>
      <c r="M137" s="20" t="n"/>
      <c r="N137" s="20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29.25" customHeight="1" s="152">
      <c r="A138" s="19" t="n"/>
      <c r="B138" s="23" t="n"/>
      <c r="C138" s="51" t="n"/>
      <c r="D138" s="52" t="n"/>
      <c r="E138" s="53" t="n"/>
      <c r="F138" s="54">
        <f>SUM(F131:F137)</f>
        <v/>
      </c>
      <c r="G138" s="54">
        <f>SUM(G131:G137)</f>
        <v/>
      </c>
      <c r="H138" s="54">
        <f>SUM(H131:H137)</f>
        <v/>
      </c>
      <c r="I138" s="54">
        <f>SUM(I131:I137)</f>
        <v/>
      </c>
      <c r="J138" s="54">
        <f>SUM(J131:J137)</f>
        <v/>
      </c>
      <c r="K138" s="54">
        <f>SUM(K131:K137)</f>
        <v/>
      </c>
      <c r="L138" s="54" t="n"/>
      <c r="M138" s="28" t="n"/>
      <c r="N138" s="28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29.25" customHeight="1" s="152">
      <c r="A139" s="19" t="n"/>
      <c r="B139" s="27" t="inlineStr">
        <is>
          <t>Division 22:  Plumbing</t>
        </is>
      </c>
      <c r="C139" s="55" t="n"/>
      <c r="D139" s="12" t="inlineStr">
        <is>
          <t>per division</t>
        </is>
      </c>
      <c r="E139" s="49" t="n"/>
      <c r="F139" s="29" t="n"/>
      <c r="G139" s="29" t="n"/>
      <c r="H139" s="29" t="n"/>
      <c r="I139" s="22" t="n"/>
      <c r="J139" s="22" t="n"/>
      <c r="K139" s="22" t="n"/>
      <c r="L139" s="22" t="n"/>
      <c r="M139" s="20" t="n"/>
      <c r="N139" s="20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29.25" customHeight="1" s="152">
      <c r="A140" s="19" t="n">
        <v>22</v>
      </c>
      <c r="B140" s="21" t="inlineStr">
        <is>
          <t>Plumbing Material &amp; Labor</t>
        </is>
      </c>
      <c r="C140" s="41" t="n"/>
      <c r="D140" s="12" t="inlineStr">
        <is>
          <t>Per Opening</t>
        </is>
      </c>
      <c r="E140" s="29" t="n"/>
      <c r="F140" s="29" t="n"/>
      <c r="G140" s="29" t="n"/>
      <c r="H140" s="29" t="n"/>
      <c r="I140" s="15">
        <f>PRODUCT(C140*E140)</f>
        <v/>
      </c>
      <c r="J140" s="15">
        <f>PRODUCT(I140)*E$202</f>
        <v/>
      </c>
      <c r="K140" s="22">
        <f>SUM(I140:J140)</f>
        <v/>
      </c>
      <c r="L140" s="22">
        <f>(K140/C140)</f>
        <v/>
      </c>
      <c r="M140" s="20" t="n"/>
      <c r="N140" s="20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29.25" customHeight="1" s="152">
      <c r="A141" s="19" t="n">
        <v>22</v>
      </c>
      <c r="B141" s="21" t="inlineStr">
        <is>
          <t>Plumbing Gas Materials and Labor</t>
        </is>
      </c>
      <c r="C141" s="55" t="n"/>
      <c r="D141" s="12" t="inlineStr">
        <is>
          <t>per plumbing</t>
        </is>
      </c>
      <c r="E141" s="29" t="n"/>
      <c r="F141" s="29" t="n"/>
      <c r="G141" s="29" t="n"/>
      <c r="H141" s="29" t="n"/>
      <c r="I141" s="15">
        <f>PRODUCT(C141*E141)</f>
        <v/>
      </c>
      <c r="J141" s="15">
        <f>PRODUCT(I141)*E$202</f>
        <v/>
      </c>
      <c r="K141" s="22">
        <f>SUM(I141:J141)</f>
        <v/>
      </c>
      <c r="L141" s="22">
        <f>(K141/C141)</f>
        <v/>
      </c>
      <c r="M141" s="20" t="n"/>
      <c r="N141" s="20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29.25" customHeight="1" s="152">
      <c r="A142" s="19" t="inlineStr">
        <is>
          <t>22.11.16</t>
        </is>
      </c>
      <c r="B142" s="21" t="inlineStr">
        <is>
          <t>Plumbing Connection Materials Extra</t>
        </is>
      </c>
      <c r="C142" s="41" t="n"/>
      <c r="D142" s="12" t="inlineStr">
        <is>
          <t>per</t>
        </is>
      </c>
      <c r="E142" s="29" t="n"/>
      <c r="F142" s="29" t="n"/>
      <c r="G142" s="29" t="n"/>
      <c r="H142" s="29" t="n"/>
      <c r="I142" s="15">
        <f>PRODUCT(C142*E142)</f>
        <v/>
      </c>
      <c r="J142" s="15">
        <f>PRODUCT(I142)*E$202</f>
        <v/>
      </c>
      <c r="K142" s="22">
        <f>SUM(I142:J142)</f>
        <v/>
      </c>
      <c r="L142" s="22">
        <f>(K142/C142)</f>
        <v/>
      </c>
      <c r="M142" s="20" t="n"/>
      <c r="N142" s="20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29.25" customHeight="1" s="152">
      <c r="A143" s="19" t="n">
        <v>22.13</v>
      </c>
      <c r="B143" s="21" t="inlineStr">
        <is>
          <t>Sewer Service (Treatment Plant)</t>
        </is>
      </c>
      <c r="C143" s="41" t="n"/>
      <c r="D143" s="12" t="inlineStr">
        <is>
          <t>per sewer</t>
        </is>
      </c>
      <c r="E143" s="29" t="n"/>
      <c r="F143" s="29" t="n"/>
      <c r="G143" s="29" t="n"/>
      <c r="H143" s="29" t="n"/>
      <c r="I143" s="15">
        <f>PRODUCT(C143*E143)</f>
        <v/>
      </c>
      <c r="J143" s="15">
        <f>PRODUCT(I143)*E$202</f>
        <v/>
      </c>
      <c r="K143" s="22">
        <f>SUM(I143:J143)</f>
        <v/>
      </c>
      <c r="L143" s="22">
        <f>(K143/C143)</f>
        <v/>
      </c>
      <c r="M143" s="20" t="n"/>
      <c r="N143" s="20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29.25" customHeight="1" s="152">
      <c r="A144" s="19" t="n">
        <v>22.3</v>
      </c>
      <c r="B144" s="21" t="inlineStr">
        <is>
          <t>Water Heaters</t>
        </is>
      </c>
      <c r="C144" s="41" t="n"/>
      <c r="D144" s="12" t="inlineStr">
        <is>
          <t>each</t>
        </is>
      </c>
      <c r="E144" s="29" t="n"/>
      <c r="F144" s="29" t="n"/>
      <c r="G144" s="29" t="n"/>
      <c r="H144" s="29" t="n"/>
      <c r="I144" s="15">
        <f>PRODUCT(C144*E144)</f>
        <v/>
      </c>
      <c r="J144" s="15">
        <f>PRODUCT(I144)*E$202</f>
        <v/>
      </c>
      <c r="K144" s="22">
        <f>SUM(I144:J144)</f>
        <v/>
      </c>
      <c r="L144" s="22">
        <f>(K144/C144)</f>
        <v/>
      </c>
      <c r="M144" s="20" t="n"/>
      <c r="N144" s="20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29.25" customHeight="1" s="152">
      <c r="A145" s="19" t="n">
        <v>22.4</v>
      </c>
      <c r="B145" s="21" t="inlineStr">
        <is>
          <t>Plumbing Fixtures</t>
        </is>
      </c>
      <c r="C145" s="41" t="n"/>
      <c r="D145" s="12" t="inlineStr">
        <is>
          <t>per plumbing</t>
        </is>
      </c>
      <c r="E145" s="29" t="n"/>
      <c r="F145" s="29" t="n"/>
      <c r="G145" s="29" t="n"/>
      <c r="H145" s="29" t="n"/>
      <c r="I145" s="15">
        <f>PRODUCT(C145*E145)</f>
        <v/>
      </c>
      <c r="J145" s="15">
        <f>PRODUCT(I145)*E$202</f>
        <v/>
      </c>
      <c r="K145" s="22">
        <f>SUM(I145:J145)</f>
        <v/>
      </c>
      <c r="L145" s="22">
        <f>(K145/C145)</f>
        <v/>
      </c>
      <c r="M145" s="20" t="n"/>
      <c r="N145" s="20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29.25" customHeight="1" s="152">
      <c r="A146" s="19" t="n"/>
      <c r="B146" s="23" t="n"/>
      <c r="C146" s="51" t="n"/>
      <c r="D146" s="52" t="n"/>
      <c r="E146" s="53" t="n"/>
      <c r="F146" s="28">
        <f>SUM(F140:F145)</f>
        <v/>
      </c>
      <c r="G146" s="28">
        <f>SUM(G140:G145)</f>
        <v/>
      </c>
      <c r="H146" s="28">
        <f>SUM(H140:H145)</f>
        <v/>
      </c>
      <c r="I146" s="28">
        <f>SUM(I140:I145)</f>
        <v/>
      </c>
      <c r="J146" s="28">
        <f>SUM(J140:J145)</f>
        <v/>
      </c>
      <c r="K146" s="28">
        <f>SUM(K140:K145)</f>
        <v/>
      </c>
      <c r="L146" s="28" t="n"/>
      <c r="M146" s="28" t="n">
        <v>11600</v>
      </c>
      <c r="N146" s="28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29.25" customHeight="1" s="152">
      <c r="A147" s="19" t="n"/>
      <c r="B147" s="27" t="inlineStr">
        <is>
          <t>Division 23:  HVAC</t>
        </is>
      </c>
      <c r="C147" s="55" t="n"/>
      <c r="D147" s="12" t="inlineStr">
        <is>
          <t>per division</t>
        </is>
      </c>
      <c r="E147" s="49" t="n"/>
      <c r="F147" s="29" t="n"/>
      <c r="G147" s="29" t="n"/>
      <c r="H147" s="29" t="n"/>
      <c r="I147" s="20" t="n"/>
      <c r="J147" s="20" t="n"/>
      <c r="K147" s="20" t="n"/>
      <c r="L147" s="20" t="n"/>
      <c r="M147" s="20" t="n"/>
      <c r="N147" s="20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29.25" customHeight="1" s="152">
      <c r="A148" s="19" t="n">
        <v>23</v>
      </c>
      <c r="B148" s="21" t="inlineStr">
        <is>
          <t>HVAC Material</t>
        </is>
      </c>
      <c r="C148" s="41" t="n"/>
      <c r="D148" s="12" t="inlineStr">
        <is>
          <t>per hvac</t>
        </is>
      </c>
      <c r="E148" s="29" t="n"/>
      <c r="F148" s="29" t="n"/>
      <c r="G148" s="29" t="n"/>
      <c r="H148" s="29" t="n"/>
      <c r="I148" s="56">
        <f>PRODUCT(C148*E148)</f>
        <v/>
      </c>
      <c r="J148" s="56">
        <f>PRODUCT(I148)*E$202</f>
        <v/>
      </c>
      <c r="K148" s="56">
        <f>SUM(I148:J148)</f>
        <v/>
      </c>
      <c r="L148" s="57">
        <f>(K148/C148)</f>
        <v/>
      </c>
      <c r="M148" s="20" t="n"/>
      <c r="N148" s="20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29.25" customHeight="1" s="152">
      <c r="A149" s="19" t="n">
        <v>23</v>
      </c>
      <c r="B149" s="21" t="inlineStr">
        <is>
          <t>HVAC Labor</t>
        </is>
      </c>
      <c r="C149" s="41" t="n"/>
      <c r="D149" s="12" t="inlineStr">
        <is>
          <t>per hvac</t>
        </is>
      </c>
      <c r="E149" s="49" t="n"/>
      <c r="F149" s="29" t="n"/>
      <c r="G149" s="29" t="n"/>
      <c r="H149" s="29" t="n"/>
      <c r="I149" s="56">
        <f>PRODUCT(C149*E149)</f>
        <v/>
      </c>
      <c r="J149" s="56">
        <f>PRODUCT(I149)*E$202</f>
        <v/>
      </c>
      <c r="K149" s="56">
        <f>SUM(I149:J149)</f>
        <v/>
      </c>
      <c r="L149" s="57">
        <f>(K149/C149)</f>
        <v/>
      </c>
      <c r="M149" s="20" t="n"/>
      <c r="N149" s="20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29.25" customHeight="1" s="152">
      <c r="A150" s="19" t="n"/>
      <c r="B150" s="36" t="n"/>
      <c r="C150" s="58" t="n"/>
      <c r="D150" s="59" t="n"/>
      <c r="E150" s="53" t="n"/>
      <c r="F150" s="28">
        <f>SUM(F148:F149)</f>
        <v/>
      </c>
      <c r="G150" s="28">
        <f>SUM(G148:G149)</f>
        <v/>
      </c>
      <c r="H150" s="28">
        <f>SUM(H148:H149)</f>
        <v/>
      </c>
      <c r="I150" s="28">
        <f>SUM(I148:I149)</f>
        <v/>
      </c>
      <c r="J150" s="28">
        <f>SUM(J148:J149)</f>
        <v/>
      </c>
      <c r="K150" s="28">
        <f>SUM(K148:K149)</f>
        <v/>
      </c>
      <c r="L150" s="28" t="n"/>
      <c r="M150" s="28" t="n">
        <v>16875</v>
      </c>
      <c r="N150" s="28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29.25" customHeight="1" s="152">
      <c r="A151" s="19" t="n"/>
      <c r="B151" s="18" t="inlineStr">
        <is>
          <t>Division 26:  Electrical</t>
        </is>
      </c>
      <c r="C151" s="41" t="n"/>
      <c r="D151" s="12" t="inlineStr">
        <is>
          <t>per division</t>
        </is>
      </c>
      <c r="E151" s="49" t="n"/>
      <c r="F151" s="29" t="n"/>
      <c r="G151" s="29" t="n"/>
      <c r="H151" s="29" t="n"/>
      <c r="I151" s="20" t="n"/>
      <c r="J151" s="20" t="n"/>
      <c r="K151" s="20" t="n"/>
      <c r="L151" s="20" t="n"/>
      <c r="M151" s="20" t="n"/>
      <c r="N151" s="20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29.25" customHeight="1" s="152">
      <c r="A152" s="19" t="n">
        <v>26</v>
      </c>
      <c r="B152" s="39" t="inlineStr">
        <is>
          <t>Electrical Material</t>
        </is>
      </c>
      <c r="C152" s="41" t="n"/>
      <c r="D152" s="12" t="inlineStr">
        <is>
          <t>Under roof sqft</t>
        </is>
      </c>
      <c r="E152" s="29" t="n"/>
      <c r="F152" s="29" t="n"/>
      <c r="G152" s="29" t="n"/>
      <c r="H152" s="29" t="n"/>
      <c r="I152" s="56">
        <f>PRODUCT(C152*E152)</f>
        <v/>
      </c>
      <c r="J152" s="56">
        <f>PRODUCT(I152)*E$202</f>
        <v/>
      </c>
      <c r="K152" s="56">
        <f>SUM(I152:J152)</f>
        <v/>
      </c>
      <c r="L152" s="57">
        <f>(K152/C152)</f>
        <v/>
      </c>
      <c r="M152" s="20" t="n"/>
      <c r="N152" s="20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29.25" customHeight="1" s="152">
      <c r="A153" s="19" t="n">
        <v>26</v>
      </c>
      <c r="B153" s="39" t="inlineStr">
        <is>
          <t>Electrical Labor</t>
        </is>
      </c>
      <c r="C153" s="41" t="n"/>
      <c r="D153" s="12" t="inlineStr">
        <is>
          <t>Under roof sqft</t>
        </is>
      </c>
      <c r="E153" s="49" t="n"/>
      <c r="F153" s="29" t="n"/>
      <c r="G153" s="29" t="n"/>
      <c r="H153" s="29" t="n"/>
      <c r="I153" s="56">
        <f>PRODUCT(C153*E153)</f>
        <v/>
      </c>
      <c r="J153" s="56">
        <f>PRODUCT(I153)*E$202</f>
        <v/>
      </c>
      <c r="K153" s="56">
        <f>SUM(I153:J153)</f>
        <v/>
      </c>
      <c r="L153" s="57">
        <f>(K153/C153)</f>
        <v/>
      </c>
      <c r="M153" s="20" t="n"/>
      <c r="N153" s="20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29.25" customHeight="1" s="152">
      <c r="A154" s="19" t="n">
        <v>26.5</v>
      </c>
      <c r="B154" s="21" t="inlineStr">
        <is>
          <t>Lighting Fixtures</t>
        </is>
      </c>
      <c r="C154" s="41" t="n"/>
      <c r="D154" s="12" t="inlineStr">
        <is>
          <t>allowance</t>
        </is>
      </c>
      <c r="E154" s="29" t="n"/>
      <c r="F154" s="29" t="n"/>
      <c r="G154" s="29" t="n"/>
      <c r="H154" s="29" t="n"/>
      <c r="I154" s="56">
        <f>PRODUCT(C154*E154)</f>
        <v/>
      </c>
      <c r="J154" s="56">
        <f>PRODUCT(I154)*E$202</f>
        <v/>
      </c>
      <c r="K154" s="56">
        <f>SUM(I154:J154)</f>
        <v/>
      </c>
      <c r="L154" s="57">
        <f>(K154/C154)</f>
        <v/>
      </c>
      <c r="M154" s="20" t="n"/>
      <c r="N154" s="20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29.25" customHeight="1" s="152">
      <c r="A155" s="19" t="n"/>
      <c r="B155" s="23" t="n"/>
      <c r="C155" s="51" t="n"/>
      <c r="D155" s="52" t="n"/>
      <c r="E155" s="53" t="n"/>
      <c r="F155" s="28">
        <f>SUM(F152:F154)</f>
        <v/>
      </c>
      <c r="G155" s="28">
        <f>SUM(G152:G154)</f>
        <v/>
      </c>
      <c r="H155" s="28">
        <f>SUM(H152:H154)</f>
        <v/>
      </c>
      <c r="I155" s="28">
        <f>SUM(I152:I154)</f>
        <v/>
      </c>
      <c r="J155" s="28">
        <f>SUM(J152:J154)</f>
        <v/>
      </c>
      <c r="K155" s="28">
        <f>SUM(K152:K154)</f>
        <v/>
      </c>
      <c r="L155" s="28" t="n"/>
      <c r="M155" s="28" t="n">
        <v>34402</v>
      </c>
      <c r="N155" s="28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29.25" customHeight="1" s="152">
      <c r="A156" s="19" t="n"/>
      <c r="B156" s="42" t="inlineStr">
        <is>
          <t>Division 27:  Communications</t>
        </is>
      </c>
      <c r="C156" s="55" t="n"/>
      <c r="D156" s="12" t="inlineStr">
        <is>
          <t>per division</t>
        </is>
      </c>
      <c r="E156" s="49" t="n"/>
      <c r="F156" s="29" t="n"/>
      <c r="G156" s="29" t="n"/>
      <c r="H156" s="29" t="n"/>
      <c r="I156" s="20" t="n"/>
      <c r="J156" s="20" t="n"/>
      <c r="K156" s="20" t="n"/>
      <c r="L156" s="20" t="n"/>
      <c r="M156" s="20" t="n"/>
      <c r="N156" s="20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29.25" customHeight="1" s="152">
      <c r="A157" s="19" t="n">
        <v>27.2</v>
      </c>
      <c r="B157" s="21" t="inlineStr">
        <is>
          <t>Data Communications</t>
        </is>
      </c>
      <c r="C157" s="55" t="n"/>
      <c r="D157" s="12" t="inlineStr">
        <is>
          <t>per data</t>
        </is>
      </c>
      <c r="E157" s="49" t="n"/>
      <c r="F157" s="29" t="n"/>
      <c r="G157" s="29" t="n"/>
      <c r="H157" s="29" t="n"/>
      <c r="I157" s="15">
        <f>PRODUCT(C157*E157)</f>
        <v/>
      </c>
      <c r="J157" s="15">
        <f>PRODUCT(I157)*E$202</f>
        <v/>
      </c>
      <c r="K157" s="22">
        <f>SUM(I157:J157)</f>
        <v/>
      </c>
      <c r="L157" s="22">
        <f>(K157/C157)</f>
        <v/>
      </c>
      <c r="M157" s="20" t="n"/>
      <c r="N157" s="20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29.25" customHeight="1" s="152">
      <c r="A158" s="19" t="n">
        <v>27.3</v>
      </c>
      <c r="B158" s="21" t="inlineStr">
        <is>
          <t>Voice Communications</t>
        </is>
      </c>
      <c r="C158" s="55" t="n"/>
      <c r="D158" s="12" t="inlineStr">
        <is>
          <t>per voice</t>
        </is>
      </c>
      <c r="E158" s="49" t="n"/>
      <c r="F158" s="29" t="n"/>
      <c r="G158" s="29" t="n"/>
      <c r="H158" s="29" t="n"/>
      <c r="I158" s="15">
        <f>PRODUCT(C158*E158)</f>
        <v/>
      </c>
      <c r="J158" s="15">
        <f>PRODUCT(I158)*E$202</f>
        <v/>
      </c>
      <c r="K158" s="22">
        <f>SUM(I158:J158)</f>
        <v/>
      </c>
      <c r="L158" s="22">
        <f>(K158/C158)</f>
        <v/>
      </c>
      <c r="M158" s="20" t="n"/>
      <c r="N158" s="20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29.25" customHeight="1" s="152">
      <c r="A159" s="19" t="n">
        <v>27.4</v>
      </c>
      <c r="B159" s="21" t="inlineStr">
        <is>
          <t>Audio-Video Communications</t>
        </is>
      </c>
      <c r="C159" s="55" t="n"/>
      <c r="D159" s="12" t="inlineStr">
        <is>
          <t>per audio</t>
        </is>
      </c>
      <c r="E159" s="49" t="n"/>
      <c r="F159" s="29" t="n"/>
      <c r="G159" s="29" t="n"/>
      <c r="H159" s="29" t="n"/>
      <c r="I159" s="15">
        <f>PRODUCT(C159*E159)</f>
        <v/>
      </c>
      <c r="J159" s="15">
        <f>PRODUCT(I159)*E$202</f>
        <v/>
      </c>
      <c r="K159" s="22">
        <f>SUM(I159:J159)</f>
        <v/>
      </c>
      <c r="L159" s="22">
        <f>(K159/C159)</f>
        <v/>
      </c>
      <c r="M159" s="20" t="n"/>
      <c r="N159" s="20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29.25" customHeight="1" s="152">
      <c r="A160" s="19" t="n"/>
      <c r="B160" s="23" t="n"/>
      <c r="C160" s="51" t="n"/>
      <c r="D160" s="52" t="n"/>
      <c r="E160" s="53" t="n"/>
      <c r="F160" s="28">
        <f>SUM(F157:F159)</f>
        <v/>
      </c>
      <c r="G160" s="28">
        <f>SUM(G157:G159)</f>
        <v/>
      </c>
      <c r="H160" s="28">
        <f>SUM(H157:H159)</f>
        <v/>
      </c>
      <c r="I160" s="28">
        <f>SUM(I157:I159)</f>
        <v/>
      </c>
      <c r="J160" s="28">
        <f>SUM(J157:J159)</f>
        <v/>
      </c>
      <c r="K160" s="28">
        <f>SUM(K157:K159)</f>
        <v/>
      </c>
      <c r="L160" s="28" t="n"/>
      <c r="M160" s="28" t="n"/>
      <c r="N160" s="28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29.25" customHeight="1" s="152">
      <c r="A161" s="19" t="n"/>
      <c r="B161" s="18" t="inlineStr">
        <is>
          <t>Division 28:  Electronic Safety &amp; Security</t>
        </is>
      </c>
      <c r="C161" s="55" t="n"/>
      <c r="D161" s="12" t="inlineStr">
        <is>
          <t>per division</t>
        </is>
      </c>
      <c r="E161" s="49" t="n"/>
      <c r="F161" s="29" t="n"/>
      <c r="G161" s="29" t="n"/>
      <c r="H161" s="60" t="n"/>
      <c r="I161" s="20" t="n"/>
      <c r="J161" s="20" t="n"/>
      <c r="K161" s="20" t="n"/>
      <c r="L161" s="20" t="n"/>
      <c r="M161" s="20" t="n"/>
      <c r="N161" s="20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29.25" customHeight="1" s="152">
      <c r="A162" s="19" t="n">
        <v>28.16</v>
      </c>
      <c r="B162" s="39" t="inlineStr">
        <is>
          <t>Alarm Installation Material</t>
        </is>
      </c>
      <c r="C162" s="41" t="n"/>
      <c r="D162" s="12" t="inlineStr">
        <is>
          <t>per alarm</t>
        </is>
      </c>
      <c r="E162" s="29" t="n"/>
      <c r="F162" s="29" t="n"/>
      <c r="G162" s="29" t="n"/>
      <c r="H162" s="153" t="n"/>
      <c r="I162" s="56">
        <f>PRODUCT(C162*E162)</f>
        <v/>
      </c>
      <c r="J162" s="56">
        <f>PRODUCT(I162)*E$202</f>
        <v/>
      </c>
      <c r="K162" s="56">
        <f>SUM(I162:J162)</f>
        <v/>
      </c>
      <c r="L162" s="57">
        <f>(K162/C162)</f>
        <v/>
      </c>
      <c r="M162" s="20" t="n"/>
      <c r="N162" s="20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29.25" customHeight="1" s="152">
      <c r="A163" s="19" t="n">
        <v>28.16</v>
      </c>
      <c r="B163" s="21" t="inlineStr">
        <is>
          <t>Alarm Installation Labor</t>
        </is>
      </c>
      <c r="C163" s="41" t="n"/>
      <c r="D163" s="12" t="inlineStr">
        <is>
          <t>per alarm</t>
        </is>
      </c>
      <c r="E163" s="49" t="n"/>
      <c r="F163" s="29" t="n"/>
      <c r="G163" s="29" t="n"/>
      <c r="H163" s="29" t="n"/>
      <c r="I163" s="56">
        <f>PRODUCT(C163*E163)</f>
        <v/>
      </c>
      <c r="J163" s="56">
        <f>PRODUCT(I163)*E$202</f>
        <v/>
      </c>
      <c r="K163" s="56">
        <f>SUM(I163:J163)</f>
        <v/>
      </c>
      <c r="L163" s="57">
        <f>(K163/C163)</f>
        <v/>
      </c>
      <c r="M163" s="20" t="n"/>
      <c r="N163" s="20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29.25" customHeight="1" s="152">
      <c r="A164" s="19" t="n"/>
      <c r="B164" s="23" t="n"/>
      <c r="C164" s="51" t="n"/>
      <c r="D164" s="52" t="n"/>
      <c r="E164" s="53" t="n"/>
      <c r="F164" s="28">
        <f>SUM(F162:F163)</f>
        <v/>
      </c>
      <c r="G164" s="28">
        <f>SUM(G162:G163)</f>
        <v/>
      </c>
      <c r="H164" s="28">
        <f>SUM(H162:H163)</f>
        <v/>
      </c>
      <c r="I164" s="28">
        <f>SUM(I162:I163)</f>
        <v/>
      </c>
      <c r="J164" s="28">
        <f>SUM(J162:J163)</f>
        <v/>
      </c>
      <c r="K164" s="28">
        <f>SUM(K162:K163)</f>
        <v/>
      </c>
      <c r="L164" s="28" t="n"/>
      <c r="M164" s="28" t="n"/>
      <c r="N164" s="28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29.25" customHeight="1" s="152">
      <c r="A165" s="19" t="n"/>
      <c r="B165" s="18" t="inlineStr">
        <is>
          <t>Division 31:  Earthwork</t>
        </is>
      </c>
      <c r="C165" s="55" t="n"/>
      <c r="D165" s="12" t="inlineStr">
        <is>
          <t>per division</t>
        </is>
      </c>
      <c r="E165" s="49" t="n"/>
      <c r="F165" s="29" t="n"/>
      <c r="G165" s="29" t="n"/>
      <c r="H165" s="29" t="n"/>
      <c r="I165" s="20" t="n"/>
      <c r="J165" s="20" t="n"/>
      <c r="K165" s="20" t="n"/>
      <c r="L165" s="20" t="n"/>
      <c r="M165" s="20" t="n"/>
      <c r="N165" s="20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29.25" customHeight="1" s="152">
      <c r="A166" s="127" t="n">
        <v>31.22</v>
      </c>
      <c r="B166" s="128" t="inlineStr">
        <is>
          <t>Site Prep/Grading</t>
        </is>
      </c>
      <c r="C166" s="62" t="n"/>
      <c r="D166" s="63" t="inlineStr">
        <is>
          <t>per site</t>
        </is>
      </c>
      <c r="E166" s="64" t="n"/>
      <c r="F166" s="64" t="n"/>
      <c r="G166" s="64" t="n"/>
      <c r="H166" s="64" t="n"/>
      <c r="I166" s="129">
        <f>PRODUCT(C166*E166)</f>
        <v/>
      </c>
      <c r="J166" s="130">
        <f>PRODUCT(I166)*E$202</f>
        <v/>
      </c>
      <c r="K166" s="129">
        <f>SUM(I166:J166)</f>
        <v/>
      </c>
      <c r="L166" s="130">
        <f>(K166/C166)</f>
        <v/>
      </c>
      <c r="M166" s="131" t="n"/>
      <c r="N166" s="131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29.25" customHeight="1" s="152">
      <c r="A167" s="127" t="inlineStr">
        <is>
          <t>31.31.16.13</t>
        </is>
      </c>
      <c r="B167" s="132" t="inlineStr">
        <is>
          <t>Termite Pre-Treat</t>
        </is>
      </c>
      <c r="C167" s="65" t="n"/>
      <c r="D167" s="63" t="inlineStr">
        <is>
          <t>per termite</t>
        </is>
      </c>
      <c r="E167" s="64" t="n"/>
      <c r="F167" s="64" t="n"/>
      <c r="G167" s="64" t="n"/>
      <c r="H167" s="64" t="n"/>
      <c r="I167" s="133">
        <f>PRODUCT(C167*E167)</f>
        <v/>
      </c>
      <c r="J167" s="133">
        <f>PRODUCT(I167)*E$202</f>
        <v/>
      </c>
      <c r="K167" s="134">
        <f>SUM(I167:J167)</f>
        <v/>
      </c>
      <c r="L167" s="134">
        <f>(K167/C167)</f>
        <v/>
      </c>
      <c r="M167" s="131" t="n"/>
      <c r="N167" s="131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29.25" customHeight="1" s="152">
      <c r="A168" s="19" t="n"/>
      <c r="B168" s="66" t="n"/>
      <c r="C168" s="66" t="n"/>
      <c r="D168" s="66" t="n"/>
      <c r="E168" s="66" t="n"/>
      <c r="F168" s="26">
        <f>SUM(F166:F167)</f>
        <v/>
      </c>
      <c r="G168" s="26">
        <f>SUM(G166:G167)</f>
        <v/>
      </c>
      <c r="H168" s="26">
        <f>SUM(H166:H167)</f>
        <v/>
      </c>
      <c r="I168" s="26">
        <f>SUM(I166:I167)</f>
        <v/>
      </c>
      <c r="J168" s="26">
        <f>SUM(J166:J167)</f>
        <v/>
      </c>
      <c r="K168" s="26">
        <f>SUM(K166:K167)</f>
        <v/>
      </c>
      <c r="L168" s="26" t="n"/>
      <c r="M168" s="28" t="n">
        <v>3125</v>
      </c>
      <c r="N168" s="28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29.25" customHeight="1" s="152">
      <c r="A169" s="19" t="n"/>
      <c r="B169" s="42" t="inlineStr">
        <is>
          <t>Division 32:  Exterior Improvements</t>
        </is>
      </c>
      <c r="C169" s="55" t="n"/>
      <c r="D169" s="12" t="inlineStr">
        <is>
          <t>per division</t>
        </is>
      </c>
      <c r="E169" s="55" t="n"/>
      <c r="F169" s="55" t="n"/>
      <c r="G169" s="55" t="n"/>
      <c r="H169" s="55" t="n"/>
      <c r="I169" s="15" t="n"/>
      <c r="J169" s="15" t="n"/>
      <c r="K169" s="15" t="n"/>
      <c r="L169" s="22" t="n"/>
      <c r="M169" s="22" t="n"/>
      <c r="N169" s="22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29.25" customHeight="1" s="152">
      <c r="A170" s="19" t="inlineStr">
        <is>
          <t>32.16.23</t>
        </is>
      </c>
      <c r="B170" s="37" t="inlineStr">
        <is>
          <t>Sidewalk Material</t>
        </is>
      </c>
      <c r="C170" s="55" t="n"/>
      <c r="D170" s="12" t="inlineStr">
        <is>
          <t>per sidewalk</t>
        </is>
      </c>
      <c r="E170" s="55" t="n"/>
      <c r="F170" s="55" t="n"/>
      <c r="G170" s="55" t="n"/>
      <c r="H170" s="55" t="n"/>
      <c r="I170" s="15">
        <f>PRODUCT(C170*E170)</f>
        <v/>
      </c>
      <c r="J170" s="15">
        <f>PRODUCT(I170)*E$202</f>
        <v/>
      </c>
      <c r="K170" s="15">
        <f>SUM(I170:J170)</f>
        <v/>
      </c>
      <c r="L170" s="22">
        <f>(K170/C170)</f>
        <v/>
      </c>
      <c r="M170" s="22" t="n"/>
      <c r="N170" s="22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29.25" customHeight="1" s="152">
      <c r="A171" s="19" t="inlineStr">
        <is>
          <t>32.16.23</t>
        </is>
      </c>
      <c r="B171" s="37" t="inlineStr">
        <is>
          <t>Sidewalk Labor</t>
        </is>
      </c>
      <c r="C171" s="55" t="n"/>
      <c r="D171" s="12" t="inlineStr">
        <is>
          <t>per sidewalk</t>
        </is>
      </c>
      <c r="E171" s="55" t="n"/>
      <c r="F171" s="55" t="n"/>
      <c r="G171" s="55" t="n"/>
      <c r="H171" s="55" t="n"/>
      <c r="I171" s="15">
        <f>PRODUCT(C171*E171)</f>
        <v/>
      </c>
      <c r="J171" s="15">
        <f>PRODUCT(I171)*E$202</f>
        <v/>
      </c>
      <c r="K171" s="15">
        <f>SUM(I171:J171)</f>
        <v/>
      </c>
      <c r="L171" s="22">
        <f>(K171/C171)</f>
        <v/>
      </c>
      <c r="M171" s="22" t="n"/>
      <c r="N171" s="22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29.25" customHeight="1" s="152">
      <c r="A172" s="19" t="inlineStr">
        <is>
          <t>32.16.33</t>
        </is>
      </c>
      <c r="B172" s="37" t="inlineStr">
        <is>
          <t>Porch Material</t>
        </is>
      </c>
      <c r="C172" s="41" t="n"/>
      <c r="D172" s="12" t="inlineStr">
        <is>
          <t>sqft</t>
        </is>
      </c>
      <c r="E172" s="29" t="n"/>
      <c r="F172" s="55" t="n"/>
      <c r="G172" s="55" t="n"/>
      <c r="H172" s="55" t="n"/>
      <c r="I172" s="15">
        <f>PRODUCT(C172*E172)</f>
        <v/>
      </c>
      <c r="J172" s="15">
        <f>PRODUCT(I172)*E$202</f>
        <v/>
      </c>
      <c r="K172" s="15">
        <f>SUM(I172:J172)</f>
        <v/>
      </c>
      <c r="L172" s="22">
        <f>(K172/C172)</f>
        <v/>
      </c>
      <c r="M172" s="22" t="n"/>
      <c r="N172" s="22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29.25" customHeight="1" s="152">
      <c r="A173" s="19" t="inlineStr">
        <is>
          <t>32.16.33</t>
        </is>
      </c>
      <c r="B173" s="37" t="inlineStr">
        <is>
          <t>Porch Labor</t>
        </is>
      </c>
      <c r="C173" s="41" t="n"/>
      <c r="D173" s="12" t="inlineStr">
        <is>
          <t>sqft</t>
        </is>
      </c>
      <c r="E173" s="29" t="n"/>
      <c r="F173" s="55" t="n"/>
      <c r="G173" s="55" t="n"/>
      <c r="H173" s="55" t="n"/>
      <c r="I173" s="15">
        <f>PRODUCT(C173*E173)</f>
        <v/>
      </c>
      <c r="J173" s="15">
        <f>PRODUCT(I173)*E$202</f>
        <v/>
      </c>
      <c r="K173" s="15">
        <f>SUM(I173:J173)</f>
        <v/>
      </c>
      <c r="L173" s="22">
        <f>(K173/C173)</f>
        <v/>
      </c>
      <c r="M173" s="22" t="n"/>
      <c r="N173" s="22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29.25" customHeight="1" s="152">
      <c r="A174" s="19" t="inlineStr">
        <is>
          <t>32.32.23.13</t>
        </is>
      </c>
      <c r="B174" s="37" t="inlineStr">
        <is>
          <t>Segmented Block Retaining Wall</t>
        </is>
      </c>
      <c r="C174" s="55" t="n"/>
      <c r="D174" s="12" t="inlineStr">
        <is>
          <t>per segmented</t>
        </is>
      </c>
      <c r="E174" s="55" t="n"/>
      <c r="F174" s="55" t="n"/>
      <c r="G174" s="55" t="n"/>
      <c r="H174" s="55" t="n"/>
      <c r="I174" s="15">
        <f>PRODUCT(C174*E174)</f>
        <v/>
      </c>
      <c r="J174" s="15">
        <f>PRODUCT(I174)*E$202</f>
        <v/>
      </c>
      <c r="K174" s="15">
        <f>SUM(I174:J174)</f>
        <v/>
      </c>
      <c r="L174" s="22">
        <f>(K174/C174)</f>
        <v/>
      </c>
      <c r="M174" s="22" t="n"/>
      <c r="N174" s="22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29.25" customHeight="1" s="152">
      <c r="A175" s="19" t="n">
        <v>32.8</v>
      </c>
      <c r="B175" s="37" t="inlineStr">
        <is>
          <t>Irrigation (Includes French Drains &amp; Sprinklers)</t>
        </is>
      </c>
      <c r="C175" s="41" t="n"/>
      <c r="D175" s="12" t="inlineStr">
        <is>
          <t>per irrigation</t>
        </is>
      </c>
      <c r="E175" s="29" t="n"/>
      <c r="F175" s="55" t="n"/>
      <c r="G175" s="55" t="n"/>
      <c r="H175" s="55" t="n"/>
      <c r="I175" s="15">
        <f>PRODUCT(C175*E175)</f>
        <v/>
      </c>
      <c r="J175" s="15">
        <f>PRODUCT(I175)*E$202</f>
        <v/>
      </c>
      <c r="K175" s="15">
        <f>SUM(I175:J175)</f>
        <v/>
      </c>
      <c r="L175" s="22">
        <f>(K175/C175)</f>
        <v/>
      </c>
      <c r="M175" s="22" t="n"/>
      <c r="N175" s="22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29.25" customHeight="1" s="152">
      <c r="A176" s="19" t="n">
        <v>32.9</v>
      </c>
      <c r="B176" s="37" t="inlineStr">
        <is>
          <t>Landscaping/Sodding</t>
        </is>
      </c>
      <c r="C176" s="41" t="n"/>
      <c r="D176" s="12" t="inlineStr">
        <is>
          <t>per landscaping</t>
        </is>
      </c>
      <c r="E176" s="29" t="n"/>
      <c r="F176" s="55" t="n"/>
      <c r="G176" s="55" t="n"/>
      <c r="H176" s="55" t="n"/>
      <c r="I176" s="15">
        <f>PRODUCT(C176*E176)</f>
        <v/>
      </c>
      <c r="J176" s="15">
        <f>PRODUCT(I176)*E$202</f>
        <v/>
      </c>
      <c r="K176" s="15">
        <f>SUM(I176:J176)</f>
        <v/>
      </c>
      <c r="L176" s="22">
        <f>(K176/C176)</f>
        <v/>
      </c>
      <c r="M176" s="22" t="n"/>
      <c r="N176" s="22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29.25" customHeight="1" s="152">
      <c r="A177" s="19" t="n"/>
      <c r="B177" s="66" t="n"/>
      <c r="C177" s="66" t="n"/>
      <c r="D177" s="66" t="n"/>
      <c r="E177" s="66" t="n"/>
      <c r="F177" s="26">
        <f>SUM(F170:F176)</f>
        <v/>
      </c>
      <c r="G177" s="26">
        <f>SUM(G170:G176)</f>
        <v/>
      </c>
      <c r="H177" s="26">
        <f>SUM(H170:H176)</f>
        <v/>
      </c>
      <c r="I177" s="26">
        <f>SUM(I170:I176)</f>
        <v/>
      </c>
      <c r="J177" s="26">
        <f>SUM(J170:J176)</f>
        <v/>
      </c>
      <c r="K177" s="26">
        <f>SUM(K170:K176)</f>
        <v/>
      </c>
      <c r="L177" s="26" t="n"/>
      <c r="M177" s="66" t="n"/>
      <c r="N177" s="20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29.25" customHeight="1" s="152">
      <c r="A178" s="135" t="n"/>
      <c r="B178" s="136" t="inlineStr">
        <is>
          <t>Division 33:  Utilities</t>
        </is>
      </c>
      <c r="C178" s="67" t="n"/>
      <c r="D178" s="68" t="inlineStr">
        <is>
          <t>per division</t>
        </is>
      </c>
      <c r="E178" s="67" t="n"/>
      <c r="F178" s="67" t="n"/>
      <c r="G178" s="67" t="n"/>
      <c r="H178" s="67" t="n"/>
      <c r="I178" s="137" t="n"/>
      <c r="J178" s="137" t="n"/>
      <c r="K178" s="137" t="n"/>
      <c r="L178" s="137" t="n"/>
      <c r="M178" s="137" t="n"/>
      <c r="N178" s="138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29.25" customHeight="1" s="152">
      <c r="A179" s="19" t="n">
        <v>33.3</v>
      </c>
      <c r="B179" s="37" t="inlineStr">
        <is>
          <t>Septic</t>
        </is>
      </c>
      <c r="C179" s="69" t="n"/>
      <c r="D179" s="63" t="inlineStr">
        <is>
          <t>per water</t>
        </is>
      </c>
      <c r="E179" s="69" t="n"/>
      <c r="F179" s="69" t="n"/>
      <c r="G179" s="69" t="n"/>
      <c r="H179" s="69" t="n"/>
      <c r="I179" s="15">
        <f>PRODUCT(C179*E179)</f>
        <v/>
      </c>
      <c r="J179" s="15">
        <f>PRODUCT(I179)*E$202</f>
        <v/>
      </c>
      <c r="K179" s="15">
        <f>SUM(I179:J179)</f>
        <v/>
      </c>
      <c r="L179" s="70">
        <f>(K179/C179)</f>
        <v/>
      </c>
      <c r="M179" s="70" t="n"/>
      <c r="N179" s="20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29.25" customHeight="1" s="152">
      <c r="A180" s="19" t="inlineStr">
        <is>
          <t>33.51.33</t>
        </is>
      </c>
      <c r="B180" s="37" t="inlineStr">
        <is>
          <t>water service</t>
        </is>
      </c>
      <c r="C180" s="69" t="n"/>
      <c r="D180" s="63" t="inlineStr">
        <is>
          <t>per</t>
        </is>
      </c>
      <c r="E180" s="69" t="n"/>
      <c r="F180" s="69" t="n"/>
      <c r="G180" s="69" t="n"/>
      <c r="H180" s="69" t="n"/>
      <c r="I180" s="15">
        <f>PRODUCT(C180*E180)</f>
        <v/>
      </c>
      <c r="J180" s="15">
        <f>PRODUCT(I180)*E$202</f>
        <v/>
      </c>
      <c r="K180" s="15">
        <f>SUM(I180:J180)</f>
        <v/>
      </c>
      <c r="L180" s="70">
        <f>(K180/C180)</f>
        <v/>
      </c>
      <c r="M180" s="70" t="n"/>
      <c r="N180" s="20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29.25" customHeight="1" s="152">
      <c r="A181" s="19" t="n">
        <v>33.7</v>
      </c>
      <c r="B181" s="37" t="inlineStr">
        <is>
          <t>Electrical Meter (Permanent Power)</t>
        </is>
      </c>
      <c r="C181" s="69" t="n"/>
      <c r="D181" s="63" t="inlineStr">
        <is>
          <t>per electrical</t>
        </is>
      </c>
      <c r="E181" s="69" t="n"/>
      <c r="F181" s="69" t="n"/>
      <c r="G181" s="69" t="n"/>
      <c r="H181" s="69" t="n"/>
      <c r="I181" s="15">
        <f>PRODUCT(C181*E181)</f>
        <v/>
      </c>
      <c r="J181" s="15">
        <f>PRODUCT(I181)*E$202</f>
        <v/>
      </c>
      <c r="K181" s="15">
        <f>SUM(I181:J181)</f>
        <v/>
      </c>
      <c r="L181" s="70">
        <f>(K181/C181)</f>
        <v/>
      </c>
      <c r="M181" s="70" t="n"/>
      <c r="N181" s="20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29.25" customHeight="1" s="152">
      <c r="A182" s="19" t="n">
        <v>33.71</v>
      </c>
      <c r="B182" s="37" t="inlineStr">
        <is>
          <t>Electrical Conduit</t>
        </is>
      </c>
      <c r="C182" s="62" t="n"/>
      <c r="D182" s="63" t="inlineStr">
        <is>
          <t>per electrical</t>
        </is>
      </c>
      <c r="E182" s="64" t="n"/>
      <c r="F182" s="69" t="n"/>
      <c r="G182" s="69" t="n"/>
      <c r="H182" s="69" t="n"/>
      <c r="I182" s="15">
        <f>PRODUCT(C182*E182)</f>
        <v/>
      </c>
      <c r="J182" s="15">
        <f>PRODUCT(I182)*E$202</f>
        <v/>
      </c>
      <c r="K182" s="15">
        <f>SUM(I182:J182)</f>
        <v/>
      </c>
      <c r="L182" s="70">
        <f>(K182/C182)</f>
        <v/>
      </c>
      <c r="M182" s="70" t="n"/>
      <c r="N182" s="20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29.25" customHeight="1" s="152">
      <c r="A183" s="19" t="n"/>
      <c r="B183" s="66" t="n"/>
      <c r="C183" s="66" t="n"/>
      <c r="D183" s="66" t="n"/>
      <c r="E183" s="66" t="n"/>
      <c r="F183" s="26">
        <f>SUM(F179:F182)</f>
        <v/>
      </c>
      <c r="G183" s="26">
        <f>SUM(G179:G182)</f>
        <v/>
      </c>
      <c r="H183" s="26">
        <f>SUM(H179:H182)</f>
        <v/>
      </c>
      <c r="I183" s="26">
        <f>SUM(I179:I182)</f>
        <v/>
      </c>
      <c r="J183" s="26">
        <f>SUM(J179:J182)</f>
        <v/>
      </c>
      <c r="K183" s="26">
        <f>SUM(K179:K182)</f>
        <v/>
      </c>
      <c r="L183" s="26" t="n"/>
      <c r="M183" s="66" t="n"/>
      <c r="N183" s="20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29.25" customHeight="1" s="152">
      <c r="A184" s="1" t="n"/>
      <c r="B184" s="154" t="inlineStr">
        <is>
          <t>All Subtotals</t>
        </is>
      </c>
      <c r="C184" s="155" t="n"/>
      <c r="D184" s="155" t="n"/>
      <c r="E184" s="156" t="n"/>
      <c r="F184" s="71">
        <f>SUM(F183,F177,F168,F164,F160,F155,F150,F146,F138,F129,F123,F114,F97,F89,F75,F55,F51,F40,F31,F24)</f>
        <v/>
      </c>
      <c r="G184" s="72">
        <f>SUM(G183,G177,G168,G164,G160,G155,G150,G146,G138,G129,G123,G114,G97,G89,G75,G55,G51,G40,G31,G24)</f>
        <v/>
      </c>
      <c r="H184" s="73">
        <f>SUM(H183,H177,H168,H164,H160,H155,H150,H146,H138,H129,H123,H114,H97,H89,H75,H55,H51,H40,H31,H24)</f>
        <v/>
      </c>
      <c r="I184" s="74">
        <f>SUM(I183,I177,I168,I164,I160,I155,I150,I146,I138,I129,I123,I114,I97,I89,I75,I55,I51,I40,I31,I24)</f>
        <v/>
      </c>
      <c r="J184" s="71">
        <f>SUM(J183,J177,J168,J164,J160,J155,J150,J146,J138,J129,J123,J114,J97,J89,J75,J55,J51,J40,J31,J24)</f>
        <v/>
      </c>
      <c r="K184" s="75">
        <f>SUM(K183,K177,K168,K164,K160,K155,K150,K146,K138,K129,K123,K114,K97,K89,K75,K55,K51,K40,K31,K24)</f>
        <v/>
      </c>
      <c r="L184" s="5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29.25" customHeight="1" s="152">
      <c r="A185" s="1" t="n"/>
      <c r="B185" s="157" t="n"/>
      <c r="C185" s="158" t="n"/>
      <c r="D185" s="158" t="n"/>
      <c r="E185" s="159" t="n"/>
      <c r="F185" s="160">
        <f>SUM(I184)</f>
        <v/>
      </c>
      <c r="G185" s="158" t="n"/>
      <c r="H185" s="158" t="n"/>
      <c r="I185" s="158" t="n"/>
      <c r="J185" s="158" t="n"/>
      <c r="K185" s="159" t="n"/>
      <c r="L185" s="5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29.25" customHeight="1" s="152">
      <c r="A186" s="1" t="n"/>
      <c r="B186" s="76" t="n"/>
      <c r="C186" s="3" t="n"/>
      <c r="D186" s="4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29.25" customHeight="1" s="152">
      <c r="A187" s="1" t="n"/>
      <c r="B187" s="161" t="inlineStr">
        <is>
          <t>Bid Tabulations</t>
        </is>
      </c>
      <c r="C187" s="162" t="n"/>
      <c r="D187" s="162" t="n"/>
      <c r="E187" s="163" t="n"/>
      <c r="F187" s="5" t="n"/>
      <c r="G187" s="5" t="n"/>
      <c r="H187" s="5" t="n"/>
      <c r="I187" s="5" t="n"/>
      <c r="J187" s="5" t="n"/>
      <c r="K187" s="5" t="n"/>
      <c r="L187" s="5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29.25" customHeight="1" s="152">
      <c r="A188" s="1" t="n"/>
      <c r="B188" s="77" t="inlineStr">
        <is>
          <t>OHP Items</t>
        </is>
      </c>
      <c r="C188" s="78" t="inlineStr">
        <is>
          <t>Rate</t>
        </is>
      </c>
      <c r="D188" s="79" t="inlineStr">
        <is>
          <t>Unit</t>
        </is>
      </c>
      <c r="E188" s="80" t="inlineStr">
        <is>
          <t>Total</t>
        </is>
      </c>
      <c r="F188" s="145" t="inlineStr">
        <is>
          <t xml:space="preserve">*** Excluding the Orange Cells; Cells That are the Like Color Should have the Same Value In It  </t>
        </is>
      </c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29.25" customHeight="1" s="152">
      <c r="A189" s="1" t="n"/>
      <c r="B189" s="81" t="inlineStr">
        <is>
          <t>MPC</t>
        </is>
      </c>
      <c r="C189" s="82" t="n">
        <v>0</v>
      </c>
      <c r="D189" s="83" t="n">
        <v>0</v>
      </c>
      <c r="E189" s="84">
        <f>(D189*C189)</f>
        <v/>
      </c>
      <c r="F189" s="5" t="n"/>
      <c r="G189" s="5" t="n"/>
      <c r="H189" s="5" t="n"/>
      <c r="I189" s="5" t="n"/>
      <c r="J189" s="5" t="n"/>
      <c r="K189" s="5" t="n"/>
      <c r="L189" s="5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29.25" customHeight="1" s="152">
      <c r="A190" s="1" t="n"/>
      <c r="B190" s="85" t="inlineStr">
        <is>
          <t>Workers Comp Rate (per 100 / 7.32)</t>
        </is>
      </c>
      <c r="C190" s="86" t="n">
        <v>0</v>
      </c>
      <c r="D190" s="87">
        <f>(1*G184)</f>
        <v/>
      </c>
      <c r="E190" s="88">
        <f>((D190/100)*C190)</f>
        <v/>
      </c>
      <c r="F190" s="5" t="n"/>
      <c r="G190" s="5" t="n"/>
      <c r="H190" s="5" t="n"/>
      <c r="I190" s="5" t="n"/>
      <c r="J190" s="5" t="n"/>
      <c r="K190" s="5" t="n"/>
      <c r="L190" s="5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29.25" customHeight="1" s="152">
      <c r="A191" s="1" t="n"/>
      <c r="B191" s="89" t="inlineStr">
        <is>
          <t>General Liability Sub-Cost (per 1000 / 4.214)</t>
        </is>
      </c>
      <c r="C191" s="86" t="n">
        <v>4.214</v>
      </c>
      <c r="D191" s="90">
        <f>(1*H184)</f>
        <v/>
      </c>
      <c r="E191" s="88">
        <f>((D191/1000)*C191)</f>
        <v/>
      </c>
      <c r="F191" s="5" t="n"/>
      <c r="G191" s="5" t="n"/>
      <c r="H191" s="5" t="n"/>
      <c r="I191" s="5" t="n"/>
      <c r="J191" s="5" t="n"/>
      <c r="K191" s="5" t="n"/>
      <c r="L191" s="5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29.25" customHeight="1" s="152">
      <c r="A192" s="1" t="n"/>
      <c r="B192" s="89" t="inlineStr">
        <is>
          <t>General Liability Self Performed (per 1000 / 31.026)</t>
        </is>
      </c>
      <c r="C192" s="86" t="n">
        <v>31.3</v>
      </c>
      <c r="D192" s="87">
        <f>(1*G184)</f>
        <v/>
      </c>
      <c r="E192" s="88">
        <f>((D192/1000)*C192)</f>
        <v/>
      </c>
      <c r="F192" s="5" t="n"/>
      <c r="G192" s="5" t="n"/>
      <c r="H192" s="5" t="n"/>
      <c r="I192" s="5" t="n"/>
      <c r="J192" s="5" t="n"/>
      <c r="K192" s="5" t="n"/>
      <c r="L192" s="5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29.25" customHeight="1" s="152">
      <c r="A193" s="1" t="n"/>
      <c r="B193" s="85" t="inlineStr">
        <is>
          <t>Overhead</t>
        </is>
      </c>
      <c r="C193" s="91" t="n">
        <v>0.08500000000000001</v>
      </c>
      <c r="D193" s="92">
        <f>(1*F185)</f>
        <v/>
      </c>
      <c r="E193" s="88">
        <f>(D193*C193)</f>
        <v/>
      </c>
      <c r="F193" s="5" t="n"/>
      <c r="G193" s="5" t="n"/>
      <c r="H193" s="93" t="n"/>
      <c r="I193" s="94" t="n"/>
      <c r="J193" s="95" t="n"/>
      <c r="K193" s="5" t="n"/>
      <c r="L193" s="5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29.25" customHeight="1" s="152">
      <c r="A194" s="6" t="n"/>
      <c r="B194" s="85" t="inlineStr">
        <is>
          <t>Payroll Tax</t>
        </is>
      </c>
      <c r="C194" s="91" t="n">
        <v>0.0735</v>
      </c>
      <c r="D194" s="87">
        <f>(1*G184)</f>
        <v/>
      </c>
      <c r="E194" s="88">
        <f>(D194*C194)</f>
        <v/>
      </c>
      <c r="F194" s="5" t="n"/>
      <c r="G194" s="5" t="n"/>
      <c r="H194" s="96" t="n"/>
      <c r="I194" s="97" t="n"/>
      <c r="J194" s="98" t="n"/>
      <c r="K194" s="5" t="n"/>
      <c r="L194" s="5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29.25" customHeight="1" s="152">
      <c r="A195" s="6" t="n"/>
      <c r="B195" s="85" t="inlineStr">
        <is>
          <t>Profit Margin</t>
        </is>
      </c>
      <c r="C195" s="91" t="n">
        <v>0.25</v>
      </c>
      <c r="D195" s="92">
        <f>(1*F185)</f>
        <v/>
      </c>
      <c r="E195" s="88">
        <f>(D195*C195)</f>
        <v/>
      </c>
      <c r="F195" s="5" t="n"/>
      <c r="G195" s="5" t="n"/>
      <c r="H195" s="5" t="n"/>
      <c r="I195" s="5" t="n"/>
      <c r="J195" s="5" t="n"/>
      <c r="K195" s="5" t="n"/>
      <c r="L195" s="5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29.25" customHeight="1" s="152">
      <c r="A196" s="6" t="n"/>
      <c r="B196" s="85" t="inlineStr">
        <is>
          <t>Total Less OH</t>
        </is>
      </c>
      <c r="C196" s="91" t="n">
        <v>0.92</v>
      </c>
      <c r="D196" s="99">
        <f>(D195/C196)</f>
        <v/>
      </c>
      <c r="E196" s="88" t="n"/>
      <c r="F196" s="5" t="n"/>
      <c r="G196" s="5" t="n"/>
      <c r="H196" s="5" t="n"/>
      <c r="I196" s="5" t="n"/>
      <c r="J196" s="5" t="n"/>
      <c r="K196" s="5" t="n"/>
      <c r="L196" s="5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29.25" customHeight="1" s="152">
      <c r="A197" s="6" t="n"/>
      <c r="B197" s="100" t="n"/>
      <c r="C197" s="139" t="n"/>
      <c r="D197" s="101" t="n"/>
      <c r="E197" s="88" t="n"/>
      <c r="F197" s="5" t="n"/>
      <c r="G197" s="5" t="n"/>
      <c r="H197" s="5" t="n"/>
      <c r="I197" s="5" t="n"/>
      <c r="J197" s="5" t="n"/>
      <c r="K197" s="5" t="n"/>
      <c r="L197" s="5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29.25" customHeight="1" s="152">
      <c r="A198" s="6" t="n"/>
      <c r="B198" s="102" t="inlineStr">
        <is>
          <t>Sub-Total OHP</t>
        </is>
      </c>
      <c r="C198" s="139" t="n"/>
      <c r="D198" s="101" t="n"/>
      <c r="E198" s="103">
        <f>SUM(E190:E196)</f>
        <v/>
      </c>
      <c r="F198" s="5" t="n"/>
      <c r="G198" s="5" t="n"/>
      <c r="H198" s="5" t="n"/>
      <c r="I198" s="5" t="n"/>
      <c r="J198" s="5" t="n"/>
      <c r="K198" s="5" t="n"/>
      <c r="L198" s="5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29.25" customHeight="1" s="152">
      <c r="A199" s="6" t="n"/>
      <c r="B199" s="102" t="inlineStr">
        <is>
          <t>Cost</t>
        </is>
      </c>
      <c r="C199" s="139" t="n"/>
      <c r="D199" s="101" t="n"/>
      <c r="E199" s="104">
        <f>(1*F185)</f>
        <v/>
      </c>
      <c r="F199" s="5" t="n"/>
      <c r="G199" s="5" t="n"/>
      <c r="H199" s="105" t="n"/>
      <c r="I199" s="5" t="n"/>
      <c r="J199" s="5" t="n"/>
      <c r="K199" s="5" t="n"/>
      <c r="L199" s="5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29.25" customHeight="1" s="152">
      <c r="A200" s="6" t="n"/>
      <c r="B200" s="102" t="inlineStr">
        <is>
          <t>Pre-Contract Bid (w/o MPC)</t>
        </is>
      </c>
      <c r="C200" s="139" t="n"/>
      <c r="D200" s="101" t="n"/>
      <c r="E200" s="106">
        <f>SUM(E198:E199)</f>
        <v/>
      </c>
      <c r="F200" s="5" t="n"/>
      <c r="G200" s="5" t="n"/>
      <c r="H200" s="105" t="n"/>
      <c r="I200" s="5" t="n"/>
      <c r="J200" s="5" t="n"/>
      <c r="K200" s="5" t="n"/>
      <c r="L200" s="5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29.25" customHeight="1" s="152">
      <c r="A201" s="6" t="n"/>
      <c r="B201" s="107" t="inlineStr">
        <is>
          <t>TOTAL PROJECT BID (w/ MPC)</t>
        </is>
      </c>
      <c r="C201" s="108" t="n"/>
      <c r="D201" s="109" t="n"/>
      <c r="E201" s="84">
        <f>(E200*1.0362694)</f>
        <v/>
      </c>
      <c r="F201" s="5" t="n"/>
      <c r="G201" s="5" t="n"/>
      <c r="H201" s="5" t="n"/>
      <c r="I201" s="5" t="n"/>
      <c r="J201" s="5" t="n"/>
      <c r="K201" s="5" t="n"/>
      <c r="L201" s="5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29.25" customHeight="1" s="152">
      <c r="A202" s="6" t="n"/>
      <c r="B202" s="110" t="inlineStr">
        <is>
          <t>SOV %</t>
        </is>
      </c>
      <c r="C202" s="111">
        <f>(1*E199)</f>
        <v/>
      </c>
      <c r="D202" s="112">
        <f>(1*E200)</f>
        <v/>
      </c>
      <c r="E202" s="113">
        <f>((D202/C202)-1)</f>
        <v/>
      </c>
      <c r="F202" s="114" t="n"/>
      <c r="G202" s="114" t="n"/>
      <c r="H202" s="114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29.25" customHeight="1" s="152">
      <c r="A203" s="6" t="n"/>
      <c r="B203" s="11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29.25" customHeight="1" s="152">
      <c r="A204" s="6" t="n"/>
      <c r="B204" s="5" t="n"/>
      <c r="C204" s="116" t="n"/>
      <c r="D204" s="4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29.25" customHeight="1" s="152">
      <c r="A205" s="6" t="n"/>
      <c r="B205" s="5" t="n"/>
      <c r="C205" s="116" t="n"/>
      <c r="D205" s="4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152">
      <c r="A206" s="1" t="n"/>
      <c r="B206" s="115" t="n"/>
      <c r="C206" s="3" t="n"/>
      <c r="D206" s="4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152">
      <c r="A207" s="1" t="n"/>
      <c r="B207" s="115" t="n"/>
      <c r="C207" s="3" t="n"/>
      <c r="D207" s="4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152">
      <c r="A208" s="1" t="n"/>
      <c r="B208" s="115" t="n"/>
      <c r="C208" s="3" t="n"/>
      <c r="D208" s="4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152">
      <c r="A209" s="1" t="n"/>
      <c r="B209" s="115" t="n"/>
      <c r="C209" s="3" t="n"/>
      <c r="D209" s="4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152">
      <c r="A210" s="1" t="n"/>
      <c r="B210" s="115" t="n"/>
      <c r="C210" s="3" t="n"/>
      <c r="D210" s="4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152">
      <c r="A211" s="1" t="n"/>
      <c r="B211" s="115" t="n"/>
      <c r="C211" s="3" t="n"/>
      <c r="D211" s="4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152">
      <c r="A212" s="1" t="n"/>
      <c r="B212" s="115" t="n"/>
      <c r="C212" s="3" t="n"/>
      <c r="D212" s="4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152">
      <c r="A213" s="1" t="n"/>
      <c r="B213" s="115" t="n"/>
      <c r="C213" s="3" t="n"/>
      <c r="D213" s="4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152">
      <c r="A214" s="1" t="n"/>
      <c r="B214" s="115" t="n"/>
      <c r="C214" s="3" t="n"/>
      <c r="D214" s="4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152">
      <c r="A215" s="1" t="n"/>
      <c r="B215" s="115" t="n"/>
      <c r="C215" s="3" t="n"/>
      <c r="D215" s="4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152">
      <c r="A216" s="1" t="n"/>
      <c r="B216" s="115" t="n"/>
      <c r="C216" s="3" t="n"/>
      <c r="D216" s="4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152">
      <c r="A217" s="1" t="n"/>
      <c r="B217" s="115" t="n"/>
      <c r="C217" s="3" t="n"/>
      <c r="D217" s="4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152">
      <c r="A218" s="1" t="n"/>
      <c r="B218" s="115" t="n"/>
      <c r="C218" s="3" t="n"/>
      <c r="D218" s="4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152">
      <c r="A219" s="1" t="n"/>
      <c r="B219" s="115" t="n"/>
      <c r="C219" s="3" t="n"/>
      <c r="D219" s="4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152">
      <c r="A220" s="1" t="n"/>
      <c r="B220" s="115" t="n"/>
      <c r="C220" s="3" t="n"/>
      <c r="D220" s="4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152">
      <c r="A221" s="1" t="n"/>
      <c r="B221" s="115" t="n"/>
      <c r="C221" s="3" t="n"/>
      <c r="D221" s="4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152">
      <c r="A222" s="1" t="n"/>
      <c r="B222" s="115" t="n"/>
      <c r="C222" s="3" t="n"/>
      <c r="D222" s="4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152">
      <c r="A223" s="1" t="n"/>
      <c r="B223" s="115" t="n"/>
      <c r="C223" s="3" t="n"/>
      <c r="D223" s="4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152">
      <c r="A224" s="1" t="n"/>
      <c r="B224" s="115" t="n"/>
      <c r="C224" s="3" t="n"/>
      <c r="D224" s="4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5.75" customHeight="1" s="152">
      <c r="A225" s="1" t="n"/>
      <c r="B225" s="115" t="n"/>
      <c r="C225" s="3" t="n"/>
      <c r="D225" s="4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5.75" customHeight="1" s="152">
      <c r="A226" s="1" t="n"/>
      <c r="B226" s="115" t="n"/>
      <c r="C226" s="3" t="n"/>
      <c r="D226" s="4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5.75" customHeight="1" s="152">
      <c r="A227" s="1" t="n"/>
      <c r="B227" s="115" t="n"/>
      <c r="C227" s="3" t="n"/>
      <c r="D227" s="4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5.75" customHeight="1" s="152">
      <c r="A228" s="1" t="n"/>
      <c r="B228" s="115" t="n"/>
      <c r="C228" s="3" t="n"/>
      <c r="D228" s="4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5.75" customHeight="1" s="152">
      <c r="A229" s="1" t="n"/>
      <c r="B229" s="115" t="n"/>
      <c r="C229" s="3" t="n"/>
      <c r="D229" s="4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5.75" customHeight="1" s="152">
      <c r="A230" s="1" t="n"/>
      <c r="B230" s="115" t="n"/>
      <c r="C230" s="3" t="n"/>
      <c r="D230" s="4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5.75" customHeight="1" s="152">
      <c r="A231" s="1" t="n"/>
      <c r="B231" s="115" t="n"/>
      <c r="C231" s="3" t="n"/>
      <c r="D231" s="4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5.75" customHeight="1" s="152">
      <c r="A232" s="1" t="n"/>
      <c r="B232" s="115" t="n"/>
      <c r="C232" s="3" t="n"/>
      <c r="D232" s="4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5.75" customHeight="1" s="152">
      <c r="A233" s="1" t="n"/>
      <c r="B233" s="115" t="n"/>
      <c r="C233" s="3" t="n"/>
      <c r="D233" s="4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5.75" customHeight="1" s="152">
      <c r="A234" s="1" t="n"/>
      <c r="B234" s="115" t="n"/>
      <c r="C234" s="3" t="n"/>
      <c r="D234" s="4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5.75" customHeight="1" s="152">
      <c r="A235" s="1" t="n"/>
      <c r="B235" s="115" t="n"/>
      <c r="C235" s="3" t="n"/>
      <c r="D235" s="4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5.75" customHeight="1" s="152">
      <c r="A236" s="1" t="n"/>
      <c r="B236" s="115" t="n"/>
      <c r="C236" s="3" t="n"/>
      <c r="D236" s="4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5.75" customHeight="1" s="152">
      <c r="A237" s="1" t="n"/>
      <c r="B237" s="115" t="n"/>
      <c r="C237" s="3" t="n"/>
      <c r="D237" s="4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5.75" customHeight="1" s="152">
      <c r="A238" s="1" t="n"/>
      <c r="B238" s="115" t="n"/>
      <c r="C238" s="3" t="n"/>
      <c r="D238" s="4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5.75" customHeight="1" s="152">
      <c r="A239" s="1" t="n"/>
      <c r="B239" s="115" t="n"/>
      <c r="C239" s="3" t="n"/>
      <c r="D239" s="4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5.75" customHeight="1" s="152">
      <c r="A240" s="1" t="n"/>
      <c r="B240" s="115" t="n"/>
      <c r="C240" s="3" t="n"/>
      <c r="D240" s="4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5.75" customHeight="1" s="152">
      <c r="A241" s="1" t="n"/>
      <c r="B241" s="115" t="n"/>
      <c r="C241" s="3" t="n"/>
      <c r="D241" s="4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5.75" customHeight="1" s="152">
      <c r="A242" s="1" t="n"/>
      <c r="B242" s="115" t="n"/>
      <c r="C242" s="3" t="n"/>
      <c r="D242" s="4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5.75" customHeight="1" s="152">
      <c r="A243" s="1" t="n"/>
      <c r="B243" s="115" t="n"/>
      <c r="C243" s="3" t="n"/>
      <c r="D243" s="4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5.75" customHeight="1" s="152">
      <c r="A244" s="1" t="n"/>
      <c r="B244" s="115" t="n"/>
      <c r="C244" s="3" t="n"/>
      <c r="D244" s="4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5.75" customHeight="1" s="152">
      <c r="A245" s="1" t="n"/>
      <c r="B245" s="115" t="n"/>
      <c r="C245" s="3" t="n"/>
      <c r="D245" s="4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5.75" customHeight="1" s="152">
      <c r="A246" s="1" t="n"/>
      <c r="B246" s="115" t="n"/>
      <c r="C246" s="3" t="n"/>
      <c r="D246" s="4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5.75" customHeight="1" s="152">
      <c r="A247" s="1" t="n"/>
      <c r="B247" s="115" t="n"/>
      <c r="C247" s="3" t="n"/>
      <c r="D247" s="4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5.75" customHeight="1" s="152">
      <c r="A248" s="1" t="n"/>
      <c r="B248" s="115" t="n"/>
      <c r="C248" s="3" t="n"/>
      <c r="D248" s="4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5.75" customHeight="1" s="152">
      <c r="A249" s="1" t="n"/>
      <c r="B249" s="115" t="n"/>
      <c r="C249" s="3" t="n"/>
      <c r="D249" s="4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5.75" customHeight="1" s="152">
      <c r="A250" s="1" t="n"/>
      <c r="B250" s="115" t="n"/>
      <c r="C250" s="3" t="n"/>
      <c r="D250" s="4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5.75" customHeight="1" s="152">
      <c r="A251" s="1" t="n"/>
      <c r="B251" s="115" t="n"/>
      <c r="C251" s="3" t="n"/>
      <c r="D251" s="4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5.75" customHeight="1" s="152">
      <c r="A252" s="1" t="n"/>
      <c r="B252" s="115" t="n"/>
      <c r="C252" s="3" t="n"/>
      <c r="D252" s="4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5.75" customHeight="1" s="152">
      <c r="A253" s="1" t="n"/>
      <c r="B253" s="115" t="n"/>
      <c r="C253" s="3" t="n"/>
      <c r="D253" s="4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5.75" customHeight="1" s="152">
      <c r="A254" s="1" t="n"/>
      <c r="B254" s="115" t="n"/>
      <c r="C254" s="3" t="n"/>
      <c r="D254" s="4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5.75" customHeight="1" s="152">
      <c r="A255" s="1" t="n"/>
      <c r="B255" s="115" t="n"/>
      <c r="C255" s="3" t="n"/>
      <c r="D255" s="4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5.75" customHeight="1" s="152">
      <c r="A256" s="1" t="n"/>
      <c r="B256" s="115" t="n"/>
      <c r="C256" s="3" t="n"/>
      <c r="D256" s="4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5.75" customHeight="1" s="152">
      <c r="A257" s="1" t="n"/>
      <c r="B257" s="115" t="n"/>
      <c r="C257" s="3" t="n"/>
      <c r="D257" s="4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5.75" customHeight="1" s="152">
      <c r="A258" s="1" t="n"/>
      <c r="B258" s="115" t="n"/>
      <c r="C258" s="3" t="n"/>
      <c r="D258" s="4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5.75" customHeight="1" s="152">
      <c r="A259" s="1" t="n"/>
      <c r="B259" s="115" t="n"/>
      <c r="C259" s="3" t="n"/>
      <c r="D259" s="4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5.75" customHeight="1" s="152">
      <c r="A260" s="1" t="n"/>
      <c r="B260" s="115" t="n"/>
      <c r="C260" s="3" t="n"/>
      <c r="D260" s="4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5.75" customHeight="1" s="152">
      <c r="A261" s="1" t="n"/>
      <c r="B261" s="115" t="n"/>
      <c r="C261" s="3" t="n"/>
      <c r="D261" s="4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5.75" customHeight="1" s="152">
      <c r="A262" s="1" t="n"/>
      <c r="B262" s="115" t="n"/>
      <c r="C262" s="3" t="n"/>
      <c r="D262" s="4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5.75" customHeight="1" s="152">
      <c r="A263" s="1" t="n"/>
      <c r="B263" s="115" t="n"/>
      <c r="C263" s="3" t="n"/>
      <c r="D263" s="4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5.75" customHeight="1" s="152">
      <c r="A264" s="1" t="n"/>
      <c r="B264" s="115" t="n"/>
      <c r="C264" s="3" t="n"/>
      <c r="D264" s="4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5.75" customHeight="1" s="152">
      <c r="A265" s="1" t="n"/>
      <c r="B265" s="115" t="n"/>
      <c r="C265" s="3" t="n"/>
      <c r="D265" s="4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5.75" customHeight="1" s="152">
      <c r="A266" s="1" t="n"/>
      <c r="B266" s="115" t="n"/>
      <c r="C266" s="3" t="n"/>
      <c r="D266" s="4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5.75" customHeight="1" s="152">
      <c r="A267" s="1" t="n"/>
      <c r="B267" s="115" t="n"/>
      <c r="C267" s="3" t="n"/>
      <c r="D267" s="4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5.75" customHeight="1" s="152">
      <c r="A268" s="1" t="n"/>
      <c r="B268" s="115" t="n"/>
      <c r="C268" s="3" t="n"/>
      <c r="D268" s="4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5.75" customHeight="1" s="152">
      <c r="A269" s="1" t="n"/>
      <c r="B269" s="115" t="n"/>
      <c r="C269" s="3" t="n"/>
      <c r="D269" s="4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5.75" customHeight="1" s="152">
      <c r="A270" s="1" t="n"/>
      <c r="B270" s="115" t="n"/>
      <c r="C270" s="3" t="n"/>
      <c r="D270" s="4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5.75" customHeight="1" s="152">
      <c r="A271" s="1" t="n"/>
      <c r="B271" s="115" t="n"/>
      <c r="C271" s="3" t="n"/>
      <c r="D271" s="4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5.75" customHeight="1" s="152">
      <c r="A272" s="1" t="n"/>
      <c r="B272" s="115" t="n"/>
      <c r="C272" s="3" t="n"/>
      <c r="D272" s="4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5.75" customHeight="1" s="152">
      <c r="A273" s="1" t="n"/>
      <c r="B273" s="115" t="n"/>
      <c r="C273" s="3" t="n"/>
      <c r="D273" s="4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5.75" customHeight="1" s="152">
      <c r="A274" s="1" t="n"/>
      <c r="B274" s="115" t="n"/>
      <c r="C274" s="3" t="n"/>
      <c r="D274" s="4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5.75" customHeight="1" s="152">
      <c r="A275" s="1" t="n"/>
      <c r="B275" s="115" t="n"/>
      <c r="C275" s="3" t="n"/>
      <c r="D275" s="4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5.75" customHeight="1" s="152">
      <c r="A276" s="1" t="n"/>
      <c r="B276" s="115" t="n"/>
      <c r="C276" s="3" t="n"/>
      <c r="D276" s="4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5.75" customHeight="1" s="152">
      <c r="A277" s="1" t="n"/>
      <c r="B277" s="115" t="n"/>
      <c r="C277" s="3" t="n"/>
      <c r="D277" s="4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5.75" customHeight="1" s="152">
      <c r="A278" s="1" t="n"/>
      <c r="B278" s="115" t="n"/>
      <c r="C278" s="3" t="n"/>
      <c r="D278" s="4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5.75" customHeight="1" s="152">
      <c r="A279" s="1" t="n"/>
      <c r="B279" s="115" t="n"/>
      <c r="C279" s="3" t="n"/>
      <c r="D279" s="4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5.75" customHeight="1" s="152">
      <c r="A280" s="1" t="n"/>
      <c r="B280" s="115" t="n"/>
      <c r="C280" s="3" t="n"/>
      <c r="D280" s="4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5.75" customHeight="1" s="152">
      <c r="A281" s="1" t="n"/>
      <c r="B281" s="115" t="n"/>
      <c r="C281" s="3" t="n"/>
      <c r="D281" s="4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5.75" customHeight="1" s="152">
      <c r="A282" s="1" t="n"/>
      <c r="B282" s="115" t="n"/>
      <c r="C282" s="3" t="n"/>
      <c r="D282" s="4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5.75" customHeight="1" s="152">
      <c r="A283" s="1" t="n"/>
      <c r="B283" s="115" t="n"/>
      <c r="C283" s="3" t="n"/>
      <c r="D283" s="4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5.75" customHeight="1" s="152">
      <c r="A284" s="1" t="n"/>
      <c r="B284" s="115" t="n"/>
      <c r="C284" s="3" t="n"/>
      <c r="D284" s="4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5.75" customHeight="1" s="152">
      <c r="A285" s="1" t="n"/>
      <c r="B285" s="115" t="n"/>
      <c r="C285" s="3" t="n"/>
      <c r="D285" s="4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5.75" customHeight="1" s="152">
      <c r="A286" s="1" t="n"/>
      <c r="B286" s="115" t="n"/>
      <c r="C286" s="3" t="n"/>
      <c r="D286" s="4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5.75" customHeight="1" s="152">
      <c r="A287" s="1" t="n"/>
      <c r="B287" s="115" t="n"/>
      <c r="C287" s="3" t="n"/>
      <c r="D287" s="4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5.75" customHeight="1" s="152">
      <c r="A288" s="1" t="n"/>
      <c r="B288" s="115" t="n"/>
      <c r="C288" s="3" t="n"/>
      <c r="D288" s="4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5.75" customHeight="1" s="152">
      <c r="A289" s="1" t="n"/>
      <c r="B289" s="115" t="n"/>
      <c r="C289" s="3" t="n"/>
      <c r="D289" s="4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5.75" customHeight="1" s="152">
      <c r="A290" s="1" t="n"/>
      <c r="B290" s="115" t="n"/>
      <c r="C290" s="3" t="n"/>
      <c r="D290" s="4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5.75" customHeight="1" s="152">
      <c r="A291" s="1" t="n"/>
      <c r="B291" s="115" t="n"/>
      <c r="C291" s="3" t="n"/>
      <c r="D291" s="4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5.75" customHeight="1" s="152">
      <c r="A292" s="1" t="n"/>
      <c r="B292" s="115" t="n"/>
      <c r="C292" s="3" t="n"/>
      <c r="D292" s="4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5.75" customHeight="1" s="152">
      <c r="A293" s="1" t="n"/>
      <c r="B293" s="115" t="n"/>
      <c r="C293" s="3" t="n"/>
      <c r="D293" s="4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5.75" customHeight="1" s="152">
      <c r="A294" s="1" t="n"/>
      <c r="B294" s="115" t="n"/>
      <c r="C294" s="3" t="n"/>
      <c r="D294" s="4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5.75" customHeight="1" s="152">
      <c r="A295" s="1" t="n"/>
      <c r="B295" s="115" t="n"/>
      <c r="C295" s="3" t="n"/>
      <c r="D295" s="4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5.75" customHeight="1" s="152">
      <c r="A296" s="1" t="n"/>
      <c r="B296" s="115" t="n"/>
      <c r="C296" s="3" t="n"/>
      <c r="D296" s="4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5.75" customHeight="1" s="152">
      <c r="A297" s="1" t="n"/>
      <c r="B297" s="115" t="n"/>
      <c r="C297" s="3" t="n"/>
      <c r="D297" s="4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5.75" customHeight="1" s="152">
      <c r="A298" s="1" t="n"/>
      <c r="B298" s="115" t="n"/>
      <c r="C298" s="3" t="n"/>
      <c r="D298" s="4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5.75" customHeight="1" s="152">
      <c r="A299" s="1" t="n"/>
      <c r="B299" s="115" t="n"/>
      <c r="C299" s="3" t="n"/>
      <c r="D299" s="4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5.75" customHeight="1" s="152">
      <c r="A300" s="1" t="n"/>
      <c r="B300" s="115" t="n"/>
      <c r="C300" s="3" t="n"/>
      <c r="D300" s="4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5.75" customHeight="1" s="152">
      <c r="A301" s="1" t="n"/>
      <c r="B301" s="115" t="n"/>
      <c r="C301" s="3" t="n"/>
      <c r="D301" s="4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5.75" customHeight="1" s="152">
      <c r="A302" s="1" t="n"/>
      <c r="B302" s="115" t="n"/>
      <c r="C302" s="3" t="n"/>
      <c r="D302" s="4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5.75" customHeight="1" s="152">
      <c r="A303" s="1" t="n"/>
      <c r="B303" s="115" t="n"/>
      <c r="C303" s="3" t="n"/>
      <c r="D303" s="4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5.75" customHeight="1" s="152">
      <c r="A304" s="1" t="n"/>
      <c r="B304" s="115" t="n"/>
      <c r="C304" s="3" t="n"/>
      <c r="D304" s="4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5.75" customHeight="1" s="152">
      <c r="A305" s="1" t="n"/>
      <c r="B305" s="115" t="n"/>
      <c r="C305" s="3" t="n"/>
      <c r="D305" s="4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5.75" customHeight="1" s="152">
      <c r="A306" s="1" t="n"/>
      <c r="B306" s="115" t="n"/>
      <c r="C306" s="3" t="n"/>
      <c r="D306" s="4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5.75" customHeight="1" s="152">
      <c r="A307" s="1" t="n"/>
      <c r="B307" s="115" t="n"/>
      <c r="C307" s="3" t="n"/>
      <c r="D307" s="4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5.75" customHeight="1" s="152">
      <c r="A308" s="1" t="n"/>
      <c r="B308" s="115" t="n"/>
      <c r="C308" s="3" t="n"/>
      <c r="D308" s="4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5.75" customHeight="1" s="152">
      <c r="A309" s="1" t="n"/>
      <c r="B309" s="115" t="n"/>
      <c r="C309" s="3" t="n"/>
      <c r="D309" s="4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5.75" customHeight="1" s="152">
      <c r="A310" s="1" t="n"/>
      <c r="B310" s="115" t="n"/>
      <c r="C310" s="3" t="n"/>
      <c r="D310" s="4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5.75" customHeight="1" s="152">
      <c r="A311" s="1" t="n"/>
      <c r="B311" s="115" t="n"/>
      <c r="C311" s="3" t="n"/>
      <c r="D311" s="4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5.75" customHeight="1" s="152">
      <c r="A312" s="1" t="n"/>
      <c r="B312" s="115" t="n"/>
      <c r="C312" s="3" t="n"/>
      <c r="D312" s="4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5.75" customHeight="1" s="152">
      <c r="A313" s="1" t="n"/>
      <c r="B313" s="115" t="n"/>
      <c r="C313" s="3" t="n"/>
      <c r="D313" s="4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5.75" customHeight="1" s="152">
      <c r="A314" s="1" t="n"/>
      <c r="B314" s="115" t="n"/>
      <c r="C314" s="3" t="n"/>
      <c r="D314" s="4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5.75" customHeight="1" s="152">
      <c r="A315" s="1" t="n"/>
      <c r="B315" s="115" t="n"/>
      <c r="C315" s="3" t="n"/>
      <c r="D315" s="4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5.75" customHeight="1" s="152">
      <c r="A316" s="1" t="n"/>
      <c r="B316" s="115" t="n"/>
      <c r="C316" s="3" t="n"/>
      <c r="D316" s="4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5.75" customHeight="1" s="152">
      <c r="A317" s="1" t="n"/>
      <c r="B317" s="115" t="n"/>
      <c r="C317" s="3" t="n"/>
      <c r="D317" s="4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5.75" customHeight="1" s="152">
      <c r="A318" s="1" t="n"/>
      <c r="B318" s="115" t="n"/>
      <c r="C318" s="3" t="n"/>
      <c r="D318" s="4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5.75" customHeight="1" s="152">
      <c r="A319" s="1" t="n"/>
      <c r="B319" s="115" t="n"/>
      <c r="C319" s="3" t="n"/>
      <c r="D319" s="4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5.75" customHeight="1" s="152">
      <c r="A320" s="1" t="n"/>
      <c r="B320" s="115" t="n"/>
      <c r="C320" s="3" t="n"/>
      <c r="D320" s="4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5.75" customHeight="1" s="152">
      <c r="A321" s="1" t="n"/>
      <c r="B321" s="115" t="n"/>
      <c r="C321" s="3" t="n"/>
      <c r="D321" s="4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5.75" customHeight="1" s="152">
      <c r="A322" s="1" t="n"/>
      <c r="B322" s="115" t="n"/>
      <c r="C322" s="3" t="n"/>
      <c r="D322" s="4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5.75" customHeight="1" s="152">
      <c r="A323" s="1" t="n"/>
      <c r="B323" s="115" t="n"/>
      <c r="C323" s="3" t="n"/>
      <c r="D323" s="4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5.75" customHeight="1" s="152">
      <c r="A324" s="1" t="n"/>
      <c r="B324" s="115" t="n"/>
      <c r="C324" s="3" t="n"/>
      <c r="D324" s="4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5.75" customHeight="1" s="152">
      <c r="A325" s="1" t="n"/>
      <c r="B325" s="115" t="n"/>
      <c r="C325" s="3" t="n"/>
      <c r="D325" s="4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5.75" customHeight="1" s="152">
      <c r="A326" s="1" t="n"/>
      <c r="B326" s="115" t="n"/>
      <c r="C326" s="3" t="n"/>
      <c r="D326" s="4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5.75" customHeight="1" s="152">
      <c r="A327" s="1" t="n"/>
      <c r="B327" s="115" t="n"/>
      <c r="C327" s="3" t="n"/>
      <c r="D327" s="4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5.75" customHeight="1" s="152">
      <c r="A328" s="1" t="n"/>
      <c r="B328" s="115" t="n"/>
      <c r="C328" s="3" t="n"/>
      <c r="D328" s="4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5.75" customHeight="1" s="152">
      <c r="A329" s="1" t="n"/>
      <c r="B329" s="115" t="n"/>
      <c r="C329" s="3" t="n"/>
      <c r="D329" s="4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5.75" customHeight="1" s="152">
      <c r="A330" s="1" t="n"/>
      <c r="B330" s="115" t="n"/>
      <c r="C330" s="3" t="n"/>
      <c r="D330" s="4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5.75" customHeight="1" s="152">
      <c r="A331" s="1" t="n"/>
      <c r="B331" s="115" t="n"/>
      <c r="C331" s="3" t="n"/>
      <c r="D331" s="4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5.75" customHeight="1" s="152">
      <c r="A332" s="1" t="n"/>
      <c r="B332" s="115" t="n"/>
      <c r="C332" s="3" t="n"/>
      <c r="D332" s="4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5.75" customHeight="1" s="152">
      <c r="A333" s="1" t="n"/>
      <c r="B333" s="115" t="n"/>
      <c r="C333" s="3" t="n"/>
      <c r="D333" s="4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5.75" customHeight="1" s="152">
      <c r="A334" s="1" t="n"/>
      <c r="B334" s="115" t="n"/>
      <c r="C334" s="3" t="n"/>
      <c r="D334" s="4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5.75" customHeight="1" s="152">
      <c r="A335" s="1" t="n"/>
      <c r="B335" s="115" t="n"/>
      <c r="C335" s="3" t="n"/>
      <c r="D335" s="4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5.75" customHeight="1" s="152">
      <c r="A336" s="1" t="n"/>
      <c r="B336" s="115" t="n"/>
      <c r="C336" s="3" t="n"/>
      <c r="D336" s="4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5.75" customHeight="1" s="152">
      <c r="A337" s="1" t="n"/>
      <c r="B337" s="115" t="n"/>
      <c r="C337" s="3" t="n"/>
      <c r="D337" s="4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5.75" customHeight="1" s="152">
      <c r="A338" s="1" t="n"/>
      <c r="B338" s="115" t="n"/>
      <c r="C338" s="3" t="n"/>
      <c r="D338" s="4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5.75" customHeight="1" s="152">
      <c r="A339" s="1" t="n"/>
      <c r="B339" s="115" t="n"/>
      <c r="C339" s="3" t="n"/>
      <c r="D339" s="4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5.75" customHeight="1" s="152">
      <c r="A340" s="1" t="n"/>
      <c r="B340" s="115" t="n"/>
      <c r="C340" s="3" t="n"/>
      <c r="D340" s="4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5.75" customHeight="1" s="152">
      <c r="A341" s="1" t="n"/>
      <c r="B341" s="115" t="n"/>
      <c r="C341" s="3" t="n"/>
      <c r="D341" s="4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5.75" customHeight="1" s="152">
      <c r="A342" s="1" t="n"/>
      <c r="B342" s="115" t="n"/>
      <c r="C342" s="3" t="n"/>
      <c r="D342" s="4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5.75" customHeight="1" s="152">
      <c r="A343" s="1" t="n"/>
      <c r="B343" s="115" t="n"/>
      <c r="C343" s="3" t="n"/>
      <c r="D343" s="4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5.75" customHeight="1" s="152">
      <c r="A344" s="1" t="n"/>
      <c r="B344" s="115" t="n"/>
      <c r="C344" s="3" t="n"/>
      <c r="D344" s="4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5.75" customHeight="1" s="152">
      <c r="A345" s="1" t="n"/>
      <c r="B345" s="115" t="n"/>
      <c r="C345" s="3" t="n"/>
      <c r="D345" s="4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5.75" customHeight="1" s="152">
      <c r="A346" s="1" t="n"/>
      <c r="B346" s="115" t="n"/>
      <c r="C346" s="3" t="n"/>
      <c r="D346" s="4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5.75" customHeight="1" s="152">
      <c r="A347" s="1" t="n"/>
      <c r="B347" s="115" t="n"/>
      <c r="C347" s="3" t="n"/>
      <c r="D347" s="4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5.75" customHeight="1" s="152">
      <c r="A348" s="1" t="n"/>
      <c r="B348" s="115" t="n"/>
      <c r="C348" s="3" t="n"/>
      <c r="D348" s="4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5.75" customHeight="1" s="152">
      <c r="A349" s="1" t="n"/>
      <c r="B349" s="115" t="n"/>
      <c r="C349" s="3" t="n"/>
      <c r="D349" s="4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5.75" customHeight="1" s="152">
      <c r="A350" s="1" t="n"/>
      <c r="B350" s="115" t="n"/>
      <c r="C350" s="3" t="n"/>
      <c r="D350" s="4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5.75" customHeight="1" s="152">
      <c r="A351" s="1" t="n"/>
      <c r="B351" s="115" t="n"/>
      <c r="C351" s="3" t="n"/>
      <c r="D351" s="4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5.75" customHeight="1" s="152">
      <c r="A352" s="1" t="n"/>
      <c r="B352" s="115" t="n"/>
      <c r="C352" s="3" t="n"/>
      <c r="D352" s="4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5.75" customHeight="1" s="152">
      <c r="A353" s="1" t="n"/>
      <c r="B353" s="115" t="n"/>
      <c r="C353" s="3" t="n"/>
      <c r="D353" s="4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5.75" customHeight="1" s="152">
      <c r="A354" s="1" t="n"/>
      <c r="B354" s="115" t="n"/>
      <c r="C354" s="3" t="n"/>
      <c r="D354" s="4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5.75" customHeight="1" s="152">
      <c r="A355" s="1" t="n"/>
      <c r="B355" s="115" t="n"/>
      <c r="C355" s="3" t="n"/>
      <c r="D355" s="4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5.75" customHeight="1" s="152">
      <c r="A356" s="1" t="n"/>
      <c r="B356" s="115" t="n"/>
      <c r="C356" s="3" t="n"/>
      <c r="D356" s="4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5.75" customHeight="1" s="152">
      <c r="A357" s="1" t="n"/>
      <c r="B357" s="115" t="n"/>
      <c r="C357" s="3" t="n"/>
      <c r="D357" s="4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5.75" customHeight="1" s="152">
      <c r="A358" s="1" t="n"/>
      <c r="B358" s="115" t="n"/>
      <c r="C358" s="3" t="n"/>
      <c r="D358" s="4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5.75" customHeight="1" s="152">
      <c r="A359" s="1" t="n"/>
      <c r="B359" s="115" t="n"/>
      <c r="C359" s="3" t="n"/>
      <c r="D359" s="4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5.75" customHeight="1" s="152">
      <c r="A360" s="1" t="n"/>
      <c r="B360" s="115" t="n"/>
      <c r="C360" s="3" t="n"/>
      <c r="D360" s="4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5.75" customHeight="1" s="152">
      <c r="A361" s="1" t="n"/>
      <c r="B361" s="115" t="n"/>
      <c r="C361" s="3" t="n"/>
      <c r="D361" s="4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5.75" customHeight="1" s="152">
      <c r="A362" s="1" t="n"/>
      <c r="B362" s="115" t="n"/>
      <c r="C362" s="3" t="n"/>
      <c r="D362" s="4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5.75" customHeight="1" s="152">
      <c r="A363" s="1" t="n"/>
      <c r="B363" s="115" t="n"/>
      <c r="C363" s="3" t="n"/>
      <c r="D363" s="4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5.75" customHeight="1" s="152">
      <c r="A364" s="1" t="n"/>
      <c r="B364" s="115" t="n"/>
      <c r="C364" s="3" t="n"/>
      <c r="D364" s="4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5.75" customHeight="1" s="152">
      <c r="A365" s="1" t="n"/>
      <c r="B365" s="115" t="n"/>
      <c r="C365" s="3" t="n"/>
      <c r="D365" s="4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5.75" customHeight="1" s="152">
      <c r="A366" s="1" t="n"/>
      <c r="B366" s="115" t="n"/>
      <c r="C366" s="3" t="n"/>
      <c r="D366" s="4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5.75" customHeight="1" s="152">
      <c r="A367" s="1" t="n"/>
      <c r="B367" s="115" t="n"/>
      <c r="C367" s="3" t="n"/>
      <c r="D367" s="4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5.75" customHeight="1" s="152">
      <c r="A368" s="1" t="n"/>
      <c r="B368" s="115" t="n"/>
      <c r="C368" s="3" t="n"/>
      <c r="D368" s="4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5.75" customHeight="1" s="152">
      <c r="A369" s="1" t="n"/>
      <c r="B369" s="115" t="n"/>
      <c r="C369" s="3" t="n"/>
      <c r="D369" s="4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5.75" customHeight="1" s="152">
      <c r="A370" s="1" t="n"/>
      <c r="B370" s="115" t="n"/>
      <c r="C370" s="3" t="n"/>
      <c r="D370" s="4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5.75" customHeight="1" s="152">
      <c r="A371" s="1" t="n"/>
      <c r="B371" s="115" t="n"/>
      <c r="C371" s="3" t="n"/>
      <c r="D371" s="4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5.75" customHeight="1" s="152">
      <c r="A372" s="1" t="n"/>
      <c r="B372" s="115" t="n"/>
      <c r="C372" s="3" t="n"/>
      <c r="D372" s="4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5.75" customHeight="1" s="152">
      <c r="A373" s="1" t="n"/>
      <c r="B373" s="115" t="n"/>
      <c r="C373" s="3" t="n"/>
      <c r="D373" s="4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5.75" customHeight="1" s="152">
      <c r="A374" s="1" t="n"/>
      <c r="B374" s="115" t="n"/>
      <c r="C374" s="3" t="n"/>
      <c r="D374" s="4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5.75" customHeight="1" s="152">
      <c r="A375" s="1" t="n"/>
      <c r="B375" s="115" t="n"/>
      <c r="C375" s="3" t="n"/>
      <c r="D375" s="4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5.75" customHeight="1" s="152">
      <c r="A376" s="1" t="n"/>
      <c r="B376" s="115" t="n"/>
      <c r="C376" s="3" t="n"/>
      <c r="D376" s="4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5.75" customHeight="1" s="152">
      <c r="A377" s="1" t="n"/>
      <c r="B377" s="115" t="n"/>
      <c r="C377" s="3" t="n"/>
      <c r="D377" s="4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5.75" customHeight="1" s="152">
      <c r="A378" s="1" t="n"/>
      <c r="B378" s="115" t="n"/>
      <c r="C378" s="3" t="n"/>
      <c r="D378" s="4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5.75" customHeight="1" s="152">
      <c r="A379" s="1" t="n"/>
      <c r="B379" s="115" t="n"/>
      <c r="C379" s="3" t="n"/>
      <c r="D379" s="4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5.75" customHeight="1" s="152">
      <c r="A380" s="1" t="n"/>
      <c r="B380" s="115" t="n"/>
      <c r="C380" s="3" t="n"/>
      <c r="D380" s="4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5.75" customHeight="1" s="152">
      <c r="A381" s="1" t="n"/>
      <c r="B381" s="115" t="n"/>
      <c r="C381" s="3" t="n"/>
      <c r="D381" s="4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5.75" customHeight="1" s="152">
      <c r="A382" s="1" t="n"/>
      <c r="B382" s="115" t="n"/>
      <c r="C382" s="3" t="n"/>
      <c r="D382" s="4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5.75" customHeight="1" s="152">
      <c r="A383" s="1" t="n"/>
      <c r="B383" s="115" t="n"/>
      <c r="C383" s="3" t="n"/>
      <c r="D383" s="4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5.75" customHeight="1" s="152">
      <c r="A384" s="1" t="n"/>
      <c r="B384" s="115" t="n"/>
      <c r="C384" s="3" t="n"/>
      <c r="D384" s="4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5.75" customHeight="1" s="152">
      <c r="A385" s="1" t="n"/>
      <c r="B385" s="115" t="n"/>
      <c r="C385" s="3" t="n"/>
      <c r="D385" s="4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5.75" customHeight="1" s="152">
      <c r="A386" s="1" t="n"/>
      <c r="B386" s="115" t="n"/>
      <c r="C386" s="3" t="n"/>
      <c r="D386" s="4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5.75" customHeight="1" s="152">
      <c r="A387" s="1" t="n"/>
      <c r="B387" s="115" t="n"/>
      <c r="C387" s="3" t="n"/>
      <c r="D387" s="4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5.75" customHeight="1" s="152">
      <c r="A388" s="1" t="n"/>
      <c r="B388" s="115" t="n"/>
      <c r="C388" s="3" t="n"/>
      <c r="D388" s="4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5.75" customHeight="1" s="152">
      <c r="A389" s="1" t="n"/>
      <c r="B389" s="115" t="n"/>
      <c r="C389" s="3" t="n"/>
      <c r="D389" s="4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5.75" customHeight="1" s="152">
      <c r="A390" s="1" t="n"/>
      <c r="B390" s="115" t="n"/>
      <c r="C390" s="3" t="n"/>
      <c r="D390" s="4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5.75" customHeight="1" s="152">
      <c r="A391" s="1" t="n"/>
      <c r="B391" s="115" t="n"/>
      <c r="C391" s="3" t="n"/>
      <c r="D391" s="4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5.75" customHeight="1" s="152">
      <c r="A392" s="1" t="n"/>
      <c r="B392" s="115" t="n"/>
      <c r="C392" s="3" t="n"/>
      <c r="D392" s="4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5.75" customHeight="1" s="152">
      <c r="A393" s="1" t="n"/>
      <c r="B393" s="115" t="n"/>
      <c r="C393" s="3" t="n"/>
      <c r="D393" s="4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5.75" customHeight="1" s="152">
      <c r="A394" s="1" t="n"/>
      <c r="B394" s="115" t="n"/>
      <c r="C394" s="3" t="n"/>
      <c r="D394" s="4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5.75" customHeight="1" s="152">
      <c r="A395" s="1" t="n"/>
      <c r="B395" s="115" t="n"/>
      <c r="C395" s="3" t="n"/>
      <c r="D395" s="4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5.75" customHeight="1" s="152">
      <c r="A396" s="1" t="n"/>
      <c r="B396" s="115" t="n"/>
      <c r="C396" s="3" t="n"/>
      <c r="D396" s="4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5.75" customHeight="1" s="152">
      <c r="A397" s="1" t="n"/>
      <c r="B397" s="115" t="n"/>
      <c r="C397" s="3" t="n"/>
      <c r="D397" s="4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5.75" customHeight="1" s="152">
      <c r="A398" s="1" t="n"/>
      <c r="B398" s="115" t="n"/>
      <c r="C398" s="3" t="n"/>
      <c r="D398" s="4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5.75" customHeight="1" s="152">
      <c r="A399" s="1" t="n"/>
      <c r="B399" s="115" t="n"/>
      <c r="C399" s="3" t="n"/>
      <c r="D399" s="4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5.75" customHeight="1" s="152">
      <c r="A400" s="1" t="n"/>
      <c r="B400" s="115" t="n"/>
      <c r="C400" s="3" t="n"/>
      <c r="D400" s="4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5.75" customHeight="1" s="152">
      <c r="A401" s="1" t="n"/>
      <c r="B401" s="115" t="n"/>
      <c r="C401" s="3" t="n"/>
      <c r="D401" s="4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5.75" customHeight="1" s="152">
      <c r="A402" s="1" t="n"/>
      <c r="B402" s="115" t="n"/>
      <c r="C402" s="3" t="n"/>
      <c r="D402" s="4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5.75" customHeight="1" s="152">
      <c r="A403" s="1" t="n"/>
      <c r="B403" s="115" t="n"/>
      <c r="C403" s="3" t="n"/>
      <c r="D403" s="4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5.75" customHeight="1" s="152">
      <c r="A404" s="1" t="n"/>
      <c r="B404" s="115" t="n"/>
      <c r="C404" s="3" t="n"/>
      <c r="D404" s="4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5.75" customHeight="1" s="152">
      <c r="A405" s="1" t="n"/>
      <c r="B405" s="115" t="n"/>
      <c r="C405" s="3" t="n"/>
      <c r="D405" s="4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5.75" customHeight="1" s="152">
      <c r="A406" s="1" t="n"/>
      <c r="B406" s="115" t="n"/>
      <c r="C406" s="3" t="n"/>
      <c r="D406" s="4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5.75" customHeight="1" s="152">
      <c r="A407" s="1" t="n"/>
      <c r="B407" s="115" t="n"/>
      <c r="C407" s="3" t="n"/>
      <c r="D407" s="4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5.75" customHeight="1" s="152">
      <c r="A408" s="1" t="n"/>
      <c r="B408" s="115" t="n"/>
      <c r="C408" s="3" t="n"/>
      <c r="D408" s="4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5.75" customHeight="1" s="152">
      <c r="A409" s="1" t="n"/>
      <c r="B409" s="115" t="n"/>
      <c r="C409" s="3" t="n"/>
      <c r="D409" s="4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5.75" customHeight="1" s="152">
      <c r="A410" s="1" t="n"/>
      <c r="B410" s="115" t="n"/>
      <c r="C410" s="3" t="n"/>
      <c r="D410" s="4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5.75" customHeight="1" s="152">
      <c r="A411" s="1" t="n"/>
      <c r="B411" s="115" t="n"/>
      <c r="C411" s="3" t="n"/>
      <c r="D411" s="4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5.75" customHeight="1" s="152">
      <c r="A412" s="1" t="n"/>
      <c r="B412" s="115" t="n"/>
      <c r="C412" s="3" t="n"/>
      <c r="D412" s="4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5.75" customHeight="1" s="152">
      <c r="A413" s="1" t="n"/>
      <c r="B413" s="115" t="n"/>
      <c r="C413" s="3" t="n"/>
      <c r="D413" s="4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5.75" customHeight="1" s="152">
      <c r="A414" s="1" t="n"/>
      <c r="B414" s="115" t="n"/>
      <c r="C414" s="3" t="n"/>
      <c r="D414" s="4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5.75" customHeight="1" s="152">
      <c r="A415" s="1" t="n"/>
      <c r="B415" s="115" t="n"/>
      <c r="C415" s="3" t="n"/>
      <c r="D415" s="4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5.75" customHeight="1" s="152">
      <c r="A416" s="1" t="n"/>
      <c r="B416" s="115" t="n"/>
      <c r="C416" s="3" t="n"/>
      <c r="D416" s="4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5.75" customHeight="1" s="152">
      <c r="A417" s="1" t="n"/>
      <c r="B417" s="115" t="n"/>
      <c r="C417" s="3" t="n"/>
      <c r="D417" s="4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5.75" customHeight="1" s="152">
      <c r="A418" s="1" t="n"/>
      <c r="B418" s="115" t="n"/>
      <c r="C418" s="3" t="n"/>
      <c r="D418" s="4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5.75" customHeight="1" s="152">
      <c r="A419" s="1" t="n"/>
      <c r="B419" s="115" t="n"/>
      <c r="C419" s="3" t="n"/>
      <c r="D419" s="4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5.75" customHeight="1" s="152">
      <c r="A420" s="1" t="n"/>
      <c r="B420" s="115" t="n"/>
      <c r="C420" s="3" t="n"/>
      <c r="D420" s="4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5.75" customHeight="1" s="152">
      <c r="A421" s="1" t="n"/>
      <c r="B421" s="115" t="n"/>
      <c r="C421" s="3" t="n"/>
      <c r="D421" s="4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5.75" customHeight="1" s="152">
      <c r="A422" s="1" t="n"/>
      <c r="B422" s="115" t="n"/>
      <c r="C422" s="3" t="n"/>
      <c r="D422" s="4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5.75" customHeight="1" s="152">
      <c r="A423" s="1" t="n"/>
      <c r="B423" s="115" t="n"/>
      <c r="C423" s="3" t="n"/>
      <c r="D423" s="4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5.75" customHeight="1" s="152">
      <c r="A424" s="1" t="n"/>
      <c r="B424" s="115" t="n"/>
      <c r="C424" s="3" t="n"/>
      <c r="D424" s="4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5.75" customHeight="1" s="152">
      <c r="A425" s="1" t="n"/>
      <c r="B425" s="115" t="n"/>
      <c r="C425" s="3" t="n"/>
      <c r="D425" s="4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5.75" customHeight="1" s="152">
      <c r="A426" s="1" t="n"/>
      <c r="B426" s="115" t="n"/>
      <c r="C426" s="3" t="n"/>
      <c r="D426" s="4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5.75" customHeight="1" s="152">
      <c r="A427" s="1" t="n"/>
      <c r="B427" s="115" t="n"/>
      <c r="C427" s="3" t="n"/>
      <c r="D427" s="4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5.75" customHeight="1" s="152">
      <c r="A428" s="1" t="n"/>
      <c r="B428" s="115" t="n"/>
      <c r="C428" s="3" t="n"/>
      <c r="D428" s="4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5.75" customHeight="1" s="152">
      <c r="A429" s="1" t="n"/>
      <c r="B429" s="115" t="n"/>
      <c r="C429" s="3" t="n"/>
      <c r="D429" s="4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5.75" customHeight="1" s="152">
      <c r="A430" s="1" t="n"/>
      <c r="B430" s="115" t="n"/>
      <c r="C430" s="3" t="n"/>
      <c r="D430" s="4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5.75" customHeight="1" s="152">
      <c r="A431" s="1" t="n"/>
      <c r="B431" s="115" t="n"/>
      <c r="C431" s="3" t="n"/>
      <c r="D431" s="4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5.75" customHeight="1" s="152">
      <c r="A432" s="1" t="n"/>
      <c r="B432" s="115" t="n"/>
      <c r="C432" s="3" t="n"/>
      <c r="D432" s="4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5.75" customHeight="1" s="152">
      <c r="A433" s="1" t="n"/>
      <c r="B433" s="115" t="n"/>
      <c r="C433" s="3" t="n"/>
      <c r="D433" s="4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5.75" customHeight="1" s="152">
      <c r="A434" s="1" t="n"/>
      <c r="B434" s="115" t="n"/>
      <c r="C434" s="3" t="n"/>
      <c r="D434" s="4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5.75" customHeight="1" s="152">
      <c r="A435" s="1" t="n"/>
      <c r="B435" s="115" t="n"/>
      <c r="C435" s="3" t="n"/>
      <c r="D435" s="4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5.75" customHeight="1" s="152">
      <c r="A436" s="1" t="n"/>
      <c r="B436" s="115" t="n"/>
      <c r="C436" s="3" t="n"/>
      <c r="D436" s="4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5.75" customHeight="1" s="152">
      <c r="A437" s="1" t="n"/>
      <c r="B437" s="115" t="n"/>
      <c r="C437" s="3" t="n"/>
      <c r="D437" s="4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5.75" customHeight="1" s="152">
      <c r="A438" s="1" t="n"/>
      <c r="B438" s="115" t="n"/>
      <c r="C438" s="3" t="n"/>
      <c r="D438" s="4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5.75" customHeight="1" s="152">
      <c r="A439" s="1" t="n"/>
      <c r="B439" s="115" t="n"/>
      <c r="C439" s="3" t="n"/>
      <c r="D439" s="4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5.75" customHeight="1" s="152">
      <c r="A440" s="1" t="n"/>
      <c r="B440" s="115" t="n"/>
      <c r="C440" s="3" t="n"/>
      <c r="D440" s="4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5.75" customHeight="1" s="152">
      <c r="A441" s="1" t="n"/>
      <c r="B441" s="115" t="n"/>
      <c r="C441" s="3" t="n"/>
      <c r="D441" s="4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5.75" customHeight="1" s="152">
      <c r="A442" s="1" t="n"/>
      <c r="B442" s="115" t="n"/>
      <c r="C442" s="3" t="n"/>
      <c r="D442" s="4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5.75" customHeight="1" s="152">
      <c r="A443" s="1" t="n"/>
      <c r="B443" s="115" t="n"/>
      <c r="C443" s="3" t="n"/>
      <c r="D443" s="4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5.75" customHeight="1" s="152">
      <c r="A444" s="1" t="n"/>
      <c r="B444" s="115" t="n"/>
      <c r="C444" s="3" t="n"/>
      <c r="D444" s="4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5.75" customHeight="1" s="152">
      <c r="A445" s="1" t="n"/>
      <c r="B445" s="115" t="n"/>
      <c r="C445" s="3" t="n"/>
      <c r="D445" s="4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5.75" customHeight="1" s="152">
      <c r="A446" s="1" t="n"/>
      <c r="B446" s="115" t="n"/>
      <c r="C446" s="3" t="n"/>
      <c r="D446" s="4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5.75" customHeight="1" s="152">
      <c r="A447" s="1" t="n"/>
      <c r="B447" s="115" t="n"/>
      <c r="C447" s="3" t="n"/>
      <c r="D447" s="4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5.75" customHeight="1" s="152">
      <c r="A448" s="1" t="n"/>
      <c r="B448" s="115" t="n"/>
      <c r="C448" s="3" t="n"/>
      <c r="D448" s="4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5.75" customHeight="1" s="152">
      <c r="A449" s="1" t="n"/>
      <c r="B449" s="115" t="n"/>
      <c r="C449" s="3" t="n"/>
      <c r="D449" s="4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5.75" customHeight="1" s="152">
      <c r="A450" s="1" t="n"/>
      <c r="B450" s="115" t="n"/>
      <c r="C450" s="3" t="n"/>
      <c r="D450" s="4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5.75" customHeight="1" s="152">
      <c r="A451" s="1" t="n"/>
      <c r="B451" s="115" t="n"/>
      <c r="C451" s="3" t="n"/>
      <c r="D451" s="4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5.75" customHeight="1" s="152">
      <c r="A452" s="1" t="n"/>
      <c r="B452" s="115" t="n"/>
      <c r="C452" s="3" t="n"/>
      <c r="D452" s="4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5.75" customHeight="1" s="152">
      <c r="A453" s="1" t="n"/>
      <c r="B453" s="115" t="n"/>
      <c r="C453" s="3" t="n"/>
      <c r="D453" s="4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5.75" customHeight="1" s="152">
      <c r="A454" s="1" t="n"/>
      <c r="B454" s="115" t="n"/>
      <c r="C454" s="3" t="n"/>
      <c r="D454" s="4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5.75" customHeight="1" s="152">
      <c r="A455" s="1" t="n"/>
      <c r="B455" s="115" t="n"/>
      <c r="C455" s="3" t="n"/>
      <c r="D455" s="4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5.75" customHeight="1" s="152">
      <c r="A456" s="1" t="n"/>
      <c r="B456" s="115" t="n"/>
      <c r="C456" s="3" t="n"/>
      <c r="D456" s="4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5.75" customHeight="1" s="152">
      <c r="A457" s="1" t="n"/>
      <c r="B457" s="115" t="n"/>
      <c r="C457" s="3" t="n"/>
      <c r="D457" s="4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5.75" customHeight="1" s="152">
      <c r="A458" s="1" t="n"/>
      <c r="B458" s="115" t="n"/>
      <c r="C458" s="3" t="n"/>
      <c r="D458" s="4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5.75" customHeight="1" s="152">
      <c r="A459" s="1" t="n"/>
      <c r="B459" s="115" t="n"/>
      <c r="C459" s="3" t="n"/>
      <c r="D459" s="4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5.75" customHeight="1" s="152">
      <c r="A460" s="1" t="n"/>
      <c r="B460" s="115" t="n"/>
      <c r="C460" s="3" t="n"/>
      <c r="D460" s="4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5.75" customHeight="1" s="152">
      <c r="A461" s="1" t="n"/>
      <c r="B461" s="115" t="n"/>
      <c r="C461" s="3" t="n"/>
      <c r="D461" s="4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5.75" customHeight="1" s="152">
      <c r="A462" s="1" t="n"/>
      <c r="B462" s="115" t="n"/>
      <c r="C462" s="3" t="n"/>
      <c r="D462" s="4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5.75" customHeight="1" s="152">
      <c r="A463" s="1" t="n"/>
      <c r="B463" s="115" t="n"/>
      <c r="C463" s="3" t="n"/>
      <c r="D463" s="4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5.75" customHeight="1" s="152">
      <c r="A464" s="1" t="n"/>
      <c r="B464" s="115" t="n"/>
      <c r="C464" s="3" t="n"/>
      <c r="D464" s="4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5.75" customHeight="1" s="152">
      <c r="A465" s="1" t="n"/>
      <c r="B465" s="115" t="n"/>
      <c r="C465" s="3" t="n"/>
      <c r="D465" s="4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5.75" customHeight="1" s="152">
      <c r="A466" s="1" t="n"/>
      <c r="B466" s="115" t="n"/>
      <c r="C466" s="3" t="n"/>
      <c r="D466" s="4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5.75" customHeight="1" s="152">
      <c r="A467" s="1" t="n"/>
      <c r="B467" s="115" t="n"/>
      <c r="C467" s="3" t="n"/>
      <c r="D467" s="4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5.75" customHeight="1" s="152">
      <c r="A468" s="1" t="n"/>
      <c r="B468" s="115" t="n"/>
      <c r="C468" s="3" t="n"/>
      <c r="D468" s="4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5.75" customHeight="1" s="152">
      <c r="A469" s="1" t="n"/>
      <c r="B469" s="115" t="n"/>
      <c r="C469" s="3" t="n"/>
      <c r="D469" s="4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5.75" customHeight="1" s="152">
      <c r="A470" s="1" t="n"/>
      <c r="B470" s="115" t="n"/>
      <c r="C470" s="3" t="n"/>
      <c r="D470" s="4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5.75" customHeight="1" s="152">
      <c r="A471" s="1" t="n"/>
      <c r="B471" s="115" t="n"/>
      <c r="C471" s="3" t="n"/>
      <c r="D471" s="4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5.75" customHeight="1" s="152">
      <c r="A472" s="1" t="n"/>
      <c r="B472" s="115" t="n"/>
      <c r="C472" s="3" t="n"/>
      <c r="D472" s="4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5.75" customHeight="1" s="152">
      <c r="A473" s="1" t="n"/>
      <c r="B473" s="115" t="n"/>
      <c r="C473" s="3" t="n"/>
      <c r="D473" s="4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5.75" customHeight="1" s="152">
      <c r="A474" s="1" t="n"/>
      <c r="B474" s="115" t="n"/>
      <c r="C474" s="3" t="n"/>
      <c r="D474" s="4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5.75" customHeight="1" s="152">
      <c r="A475" s="1" t="n"/>
      <c r="B475" s="115" t="n"/>
      <c r="C475" s="3" t="n"/>
      <c r="D475" s="4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5.75" customHeight="1" s="152">
      <c r="A476" s="1" t="n"/>
      <c r="B476" s="115" t="n"/>
      <c r="C476" s="3" t="n"/>
      <c r="D476" s="4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5.75" customHeight="1" s="152">
      <c r="A477" s="1" t="n"/>
      <c r="B477" s="115" t="n"/>
      <c r="C477" s="3" t="n"/>
      <c r="D477" s="4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5.75" customHeight="1" s="152">
      <c r="A478" s="1" t="n"/>
      <c r="B478" s="115" t="n"/>
      <c r="C478" s="3" t="n"/>
      <c r="D478" s="4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5.75" customHeight="1" s="152">
      <c r="A479" s="1" t="n"/>
      <c r="B479" s="115" t="n"/>
      <c r="C479" s="3" t="n"/>
      <c r="D479" s="4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5.75" customHeight="1" s="152">
      <c r="A480" s="1" t="n"/>
      <c r="B480" s="115" t="n"/>
      <c r="C480" s="3" t="n"/>
      <c r="D480" s="4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5.75" customHeight="1" s="152">
      <c r="A481" s="1" t="n"/>
      <c r="B481" s="115" t="n"/>
      <c r="C481" s="3" t="n"/>
      <c r="D481" s="4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5.75" customHeight="1" s="152">
      <c r="A482" s="1" t="n"/>
      <c r="B482" s="115" t="n"/>
      <c r="C482" s="3" t="n"/>
      <c r="D482" s="4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5.75" customHeight="1" s="152">
      <c r="A483" s="1" t="n"/>
      <c r="B483" s="115" t="n"/>
      <c r="C483" s="3" t="n"/>
      <c r="D483" s="4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5.75" customHeight="1" s="152">
      <c r="A484" s="1" t="n"/>
      <c r="B484" s="115" t="n"/>
      <c r="C484" s="3" t="n"/>
      <c r="D484" s="4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5.75" customHeight="1" s="152">
      <c r="A485" s="1" t="n"/>
      <c r="B485" s="115" t="n"/>
      <c r="C485" s="3" t="n"/>
      <c r="D485" s="4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5.75" customHeight="1" s="152">
      <c r="A486" s="1" t="n"/>
      <c r="B486" s="115" t="n"/>
      <c r="C486" s="3" t="n"/>
      <c r="D486" s="4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5.75" customHeight="1" s="152">
      <c r="A487" s="1" t="n"/>
      <c r="B487" s="115" t="n"/>
      <c r="C487" s="3" t="n"/>
      <c r="D487" s="4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5.75" customHeight="1" s="152">
      <c r="A488" s="1" t="n"/>
      <c r="B488" s="115" t="n"/>
      <c r="C488" s="3" t="n"/>
      <c r="D488" s="4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5.75" customHeight="1" s="152">
      <c r="A489" s="1" t="n"/>
      <c r="B489" s="115" t="n"/>
      <c r="C489" s="3" t="n"/>
      <c r="D489" s="4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5.75" customHeight="1" s="152">
      <c r="A490" s="1" t="n"/>
      <c r="B490" s="115" t="n"/>
      <c r="C490" s="3" t="n"/>
      <c r="D490" s="4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5.75" customHeight="1" s="152">
      <c r="A491" s="1" t="n"/>
      <c r="B491" s="115" t="n"/>
      <c r="C491" s="3" t="n"/>
      <c r="D491" s="4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5.75" customHeight="1" s="152">
      <c r="A492" s="1" t="n"/>
      <c r="B492" s="115" t="n"/>
      <c r="C492" s="3" t="n"/>
      <c r="D492" s="4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5.75" customHeight="1" s="152">
      <c r="A493" s="1" t="n"/>
      <c r="B493" s="115" t="n"/>
      <c r="C493" s="3" t="n"/>
      <c r="D493" s="4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5.75" customHeight="1" s="152">
      <c r="A494" s="1" t="n"/>
      <c r="B494" s="115" t="n"/>
      <c r="C494" s="3" t="n"/>
      <c r="D494" s="4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5.75" customHeight="1" s="152">
      <c r="A495" s="1" t="n"/>
      <c r="B495" s="115" t="n"/>
      <c r="C495" s="3" t="n"/>
      <c r="D495" s="4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5.75" customHeight="1" s="152">
      <c r="A496" s="1" t="n"/>
      <c r="B496" s="115" t="n"/>
      <c r="C496" s="3" t="n"/>
      <c r="D496" s="4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5.75" customHeight="1" s="152">
      <c r="A497" s="1" t="n"/>
      <c r="B497" s="115" t="n"/>
      <c r="C497" s="3" t="n"/>
      <c r="D497" s="4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5.75" customHeight="1" s="152">
      <c r="A498" s="1" t="n"/>
      <c r="B498" s="115" t="n"/>
      <c r="C498" s="3" t="n"/>
      <c r="D498" s="4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5.75" customHeight="1" s="152">
      <c r="A499" s="1" t="n"/>
      <c r="B499" s="115" t="n"/>
      <c r="C499" s="3" t="n"/>
      <c r="D499" s="4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5.75" customHeight="1" s="152">
      <c r="A500" s="1" t="n"/>
      <c r="B500" s="115" t="n"/>
      <c r="C500" s="3" t="n"/>
      <c r="D500" s="4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5.75" customHeight="1" s="152">
      <c r="A501" s="1" t="n"/>
      <c r="B501" s="115" t="n"/>
      <c r="C501" s="3" t="n"/>
      <c r="D501" s="4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5.75" customHeight="1" s="152">
      <c r="A502" s="1" t="n"/>
      <c r="B502" s="115" t="n"/>
      <c r="C502" s="3" t="n"/>
      <c r="D502" s="4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5.75" customHeight="1" s="152">
      <c r="A503" s="1" t="n"/>
      <c r="B503" s="115" t="n"/>
      <c r="C503" s="3" t="n"/>
      <c r="D503" s="4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5.75" customHeight="1" s="152">
      <c r="A504" s="1" t="n"/>
      <c r="B504" s="115" t="n"/>
      <c r="C504" s="3" t="n"/>
      <c r="D504" s="4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5.75" customHeight="1" s="152">
      <c r="A505" s="1" t="n"/>
      <c r="B505" s="115" t="n"/>
      <c r="C505" s="3" t="n"/>
      <c r="D505" s="4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5.75" customHeight="1" s="152">
      <c r="A506" s="1" t="n"/>
      <c r="B506" s="115" t="n"/>
      <c r="C506" s="3" t="n"/>
      <c r="D506" s="4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5.75" customHeight="1" s="152">
      <c r="A507" s="1" t="n"/>
      <c r="B507" s="115" t="n"/>
      <c r="C507" s="3" t="n"/>
      <c r="D507" s="4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5.75" customHeight="1" s="152">
      <c r="A508" s="1" t="n"/>
      <c r="B508" s="115" t="n"/>
      <c r="C508" s="3" t="n"/>
      <c r="D508" s="4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5.75" customHeight="1" s="152">
      <c r="A509" s="1" t="n"/>
      <c r="B509" s="115" t="n"/>
      <c r="C509" s="3" t="n"/>
      <c r="D509" s="4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5.75" customHeight="1" s="152">
      <c r="A510" s="1" t="n"/>
      <c r="B510" s="115" t="n"/>
      <c r="C510" s="3" t="n"/>
      <c r="D510" s="4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5.75" customHeight="1" s="152">
      <c r="A511" s="1" t="n"/>
      <c r="B511" s="115" t="n"/>
      <c r="C511" s="3" t="n"/>
      <c r="D511" s="4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5.75" customHeight="1" s="152">
      <c r="A512" s="1" t="n"/>
      <c r="B512" s="115" t="n"/>
      <c r="C512" s="3" t="n"/>
      <c r="D512" s="4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5.75" customHeight="1" s="152">
      <c r="A513" s="1" t="n"/>
      <c r="B513" s="115" t="n"/>
      <c r="C513" s="3" t="n"/>
      <c r="D513" s="4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5.75" customHeight="1" s="152">
      <c r="A514" s="1" t="n"/>
      <c r="B514" s="115" t="n"/>
      <c r="C514" s="3" t="n"/>
      <c r="D514" s="4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5.75" customHeight="1" s="152">
      <c r="A515" s="1" t="n"/>
      <c r="B515" s="115" t="n"/>
      <c r="C515" s="3" t="n"/>
      <c r="D515" s="4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5.75" customHeight="1" s="152">
      <c r="A516" s="1" t="n"/>
      <c r="B516" s="115" t="n"/>
      <c r="C516" s="3" t="n"/>
      <c r="D516" s="4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5.75" customHeight="1" s="152">
      <c r="A517" s="1" t="n"/>
      <c r="B517" s="115" t="n"/>
      <c r="C517" s="3" t="n"/>
      <c r="D517" s="4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5.75" customHeight="1" s="152">
      <c r="A518" s="1" t="n"/>
      <c r="B518" s="115" t="n"/>
      <c r="C518" s="3" t="n"/>
      <c r="D518" s="4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5.75" customHeight="1" s="152">
      <c r="A519" s="1" t="n"/>
      <c r="B519" s="115" t="n"/>
      <c r="C519" s="3" t="n"/>
      <c r="D519" s="4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5.75" customHeight="1" s="152">
      <c r="A520" s="1" t="n"/>
      <c r="B520" s="115" t="n"/>
      <c r="C520" s="3" t="n"/>
      <c r="D520" s="4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5.75" customHeight="1" s="152">
      <c r="A521" s="1" t="n"/>
      <c r="B521" s="115" t="n"/>
      <c r="C521" s="3" t="n"/>
      <c r="D521" s="4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5.75" customHeight="1" s="152">
      <c r="A522" s="1" t="n"/>
      <c r="B522" s="115" t="n"/>
      <c r="C522" s="3" t="n"/>
      <c r="D522" s="4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5.75" customHeight="1" s="152">
      <c r="A523" s="1" t="n"/>
      <c r="B523" s="115" t="n"/>
      <c r="C523" s="3" t="n"/>
      <c r="D523" s="4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5.75" customHeight="1" s="152">
      <c r="A524" s="1" t="n"/>
      <c r="B524" s="115" t="n"/>
      <c r="C524" s="3" t="n"/>
      <c r="D524" s="4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5.75" customHeight="1" s="152">
      <c r="A525" s="1" t="n"/>
      <c r="B525" s="115" t="n"/>
      <c r="C525" s="3" t="n"/>
      <c r="D525" s="4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5.75" customHeight="1" s="152">
      <c r="A526" s="1" t="n"/>
      <c r="B526" s="115" t="n"/>
      <c r="C526" s="3" t="n"/>
      <c r="D526" s="4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5.75" customHeight="1" s="152">
      <c r="A527" s="1" t="n"/>
      <c r="B527" s="115" t="n"/>
      <c r="C527" s="3" t="n"/>
      <c r="D527" s="4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5.75" customHeight="1" s="152">
      <c r="A528" s="1" t="n"/>
      <c r="B528" s="115" t="n"/>
      <c r="C528" s="3" t="n"/>
      <c r="D528" s="4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5.75" customHeight="1" s="152">
      <c r="A529" s="1" t="n"/>
      <c r="B529" s="115" t="n"/>
      <c r="C529" s="3" t="n"/>
      <c r="D529" s="4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5.75" customHeight="1" s="152">
      <c r="A530" s="1" t="n"/>
      <c r="B530" s="115" t="n"/>
      <c r="C530" s="3" t="n"/>
      <c r="D530" s="4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5.75" customHeight="1" s="152">
      <c r="A531" s="1" t="n"/>
      <c r="B531" s="115" t="n"/>
      <c r="C531" s="3" t="n"/>
      <c r="D531" s="4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5.75" customHeight="1" s="152">
      <c r="A532" s="1" t="n"/>
      <c r="B532" s="115" t="n"/>
      <c r="C532" s="3" t="n"/>
      <c r="D532" s="4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5.75" customHeight="1" s="152">
      <c r="A533" s="1" t="n"/>
      <c r="B533" s="115" t="n"/>
      <c r="C533" s="3" t="n"/>
      <c r="D533" s="4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5.75" customHeight="1" s="152">
      <c r="A534" s="1" t="n"/>
      <c r="B534" s="115" t="n"/>
      <c r="C534" s="3" t="n"/>
      <c r="D534" s="4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5.75" customHeight="1" s="152">
      <c r="A535" s="1" t="n"/>
      <c r="B535" s="115" t="n"/>
      <c r="C535" s="3" t="n"/>
      <c r="D535" s="4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5.75" customHeight="1" s="152">
      <c r="A536" s="1" t="n"/>
      <c r="B536" s="115" t="n"/>
      <c r="C536" s="3" t="n"/>
      <c r="D536" s="4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5.75" customHeight="1" s="152">
      <c r="A537" s="1" t="n"/>
      <c r="B537" s="115" t="n"/>
      <c r="C537" s="3" t="n"/>
      <c r="D537" s="4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5.75" customHeight="1" s="152">
      <c r="A538" s="1" t="n"/>
      <c r="B538" s="115" t="n"/>
      <c r="C538" s="3" t="n"/>
      <c r="D538" s="4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5.75" customHeight="1" s="152">
      <c r="A539" s="1" t="n"/>
      <c r="B539" s="115" t="n"/>
      <c r="C539" s="3" t="n"/>
      <c r="D539" s="4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5.75" customHeight="1" s="152">
      <c r="A540" s="1" t="n"/>
      <c r="B540" s="115" t="n"/>
      <c r="C540" s="3" t="n"/>
      <c r="D540" s="4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5.75" customHeight="1" s="152">
      <c r="A541" s="1" t="n"/>
      <c r="B541" s="115" t="n"/>
      <c r="C541" s="3" t="n"/>
      <c r="D541" s="4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5.75" customHeight="1" s="152">
      <c r="A542" s="1" t="n"/>
      <c r="B542" s="115" t="n"/>
      <c r="C542" s="3" t="n"/>
      <c r="D542" s="4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5.75" customHeight="1" s="152">
      <c r="A543" s="1" t="n"/>
      <c r="B543" s="115" t="n"/>
      <c r="C543" s="3" t="n"/>
      <c r="D543" s="4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5.75" customHeight="1" s="152">
      <c r="A544" s="1" t="n"/>
      <c r="B544" s="115" t="n"/>
      <c r="C544" s="3" t="n"/>
      <c r="D544" s="4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5.75" customHeight="1" s="152">
      <c r="A545" s="1" t="n"/>
      <c r="B545" s="115" t="n"/>
      <c r="C545" s="3" t="n"/>
      <c r="D545" s="4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5.75" customHeight="1" s="152">
      <c r="A546" s="1" t="n"/>
      <c r="B546" s="115" t="n"/>
      <c r="C546" s="3" t="n"/>
      <c r="D546" s="4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5.75" customHeight="1" s="152">
      <c r="A547" s="1" t="n"/>
      <c r="B547" s="115" t="n"/>
      <c r="C547" s="3" t="n"/>
      <c r="D547" s="4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5.75" customHeight="1" s="152">
      <c r="A548" s="1" t="n"/>
      <c r="B548" s="115" t="n"/>
      <c r="C548" s="3" t="n"/>
      <c r="D548" s="4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5.75" customHeight="1" s="152">
      <c r="A549" s="1" t="n"/>
      <c r="B549" s="115" t="n"/>
      <c r="C549" s="3" t="n"/>
      <c r="D549" s="4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5.75" customHeight="1" s="152">
      <c r="A550" s="1" t="n"/>
      <c r="B550" s="115" t="n"/>
      <c r="C550" s="3" t="n"/>
      <c r="D550" s="4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5.75" customHeight="1" s="152">
      <c r="A551" s="1" t="n"/>
      <c r="B551" s="115" t="n"/>
      <c r="C551" s="3" t="n"/>
      <c r="D551" s="4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5.75" customHeight="1" s="152">
      <c r="A552" s="1" t="n"/>
      <c r="B552" s="115" t="n"/>
      <c r="C552" s="3" t="n"/>
      <c r="D552" s="4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5.75" customHeight="1" s="152">
      <c r="A553" s="1" t="n"/>
      <c r="B553" s="115" t="n"/>
      <c r="C553" s="3" t="n"/>
      <c r="D553" s="4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5.75" customHeight="1" s="152">
      <c r="A554" s="1" t="n"/>
      <c r="B554" s="115" t="n"/>
      <c r="C554" s="3" t="n"/>
      <c r="D554" s="4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5.75" customHeight="1" s="152">
      <c r="A555" s="1" t="n"/>
      <c r="B555" s="115" t="n"/>
      <c r="C555" s="3" t="n"/>
      <c r="D555" s="4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5.75" customHeight="1" s="152">
      <c r="A556" s="1" t="n"/>
      <c r="B556" s="115" t="n"/>
      <c r="C556" s="3" t="n"/>
      <c r="D556" s="4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5.75" customHeight="1" s="152">
      <c r="A557" s="1" t="n"/>
      <c r="B557" s="115" t="n"/>
      <c r="C557" s="3" t="n"/>
      <c r="D557" s="4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5.75" customHeight="1" s="152">
      <c r="A558" s="1" t="n"/>
      <c r="B558" s="115" t="n"/>
      <c r="C558" s="3" t="n"/>
      <c r="D558" s="4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5.75" customHeight="1" s="152">
      <c r="A559" s="1" t="n"/>
      <c r="B559" s="115" t="n"/>
      <c r="C559" s="3" t="n"/>
      <c r="D559" s="4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5.75" customHeight="1" s="152">
      <c r="A560" s="1" t="n"/>
      <c r="B560" s="115" t="n"/>
      <c r="C560" s="3" t="n"/>
      <c r="D560" s="4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5.75" customHeight="1" s="152">
      <c r="A561" s="1" t="n"/>
      <c r="B561" s="115" t="n"/>
      <c r="C561" s="3" t="n"/>
      <c r="D561" s="4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5.75" customHeight="1" s="152">
      <c r="A562" s="1" t="n"/>
      <c r="B562" s="115" t="n"/>
      <c r="C562" s="3" t="n"/>
      <c r="D562" s="4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5.75" customHeight="1" s="152">
      <c r="A563" s="1" t="n"/>
      <c r="B563" s="115" t="n"/>
      <c r="C563" s="3" t="n"/>
      <c r="D563" s="4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5.75" customHeight="1" s="152">
      <c r="A564" s="1" t="n"/>
      <c r="B564" s="115" t="n"/>
      <c r="C564" s="3" t="n"/>
      <c r="D564" s="4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5.75" customHeight="1" s="152">
      <c r="A565" s="1" t="n"/>
      <c r="B565" s="115" t="n"/>
      <c r="C565" s="3" t="n"/>
      <c r="D565" s="4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5.75" customHeight="1" s="152">
      <c r="A566" s="1" t="n"/>
      <c r="B566" s="115" t="n"/>
      <c r="C566" s="3" t="n"/>
      <c r="D566" s="4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5.75" customHeight="1" s="152">
      <c r="A567" s="1" t="n"/>
      <c r="B567" s="115" t="n"/>
      <c r="C567" s="3" t="n"/>
      <c r="D567" s="4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5.75" customHeight="1" s="152">
      <c r="A568" s="1" t="n"/>
      <c r="B568" s="115" t="n"/>
      <c r="C568" s="3" t="n"/>
      <c r="D568" s="4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5.75" customHeight="1" s="152">
      <c r="A569" s="1" t="n"/>
      <c r="B569" s="115" t="n"/>
      <c r="C569" s="3" t="n"/>
      <c r="D569" s="4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5.75" customHeight="1" s="152">
      <c r="A570" s="1" t="n"/>
      <c r="B570" s="115" t="n"/>
      <c r="C570" s="3" t="n"/>
      <c r="D570" s="4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5.75" customHeight="1" s="152">
      <c r="A571" s="1" t="n"/>
      <c r="B571" s="115" t="n"/>
      <c r="C571" s="3" t="n"/>
      <c r="D571" s="4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5.75" customHeight="1" s="152">
      <c r="A572" s="1" t="n"/>
      <c r="B572" s="115" t="n"/>
      <c r="C572" s="3" t="n"/>
      <c r="D572" s="4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5.75" customHeight="1" s="152">
      <c r="A573" s="1" t="n"/>
      <c r="B573" s="115" t="n"/>
      <c r="C573" s="3" t="n"/>
      <c r="D573" s="4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5.75" customHeight="1" s="152">
      <c r="A574" s="1" t="n"/>
      <c r="B574" s="115" t="n"/>
      <c r="C574" s="3" t="n"/>
      <c r="D574" s="4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5.75" customHeight="1" s="152">
      <c r="A575" s="1" t="n"/>
      <c r="B575" s="115" t="n"/>
      <c r="C575" s="3" t="n"/>
      <c r="D575" s="4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5.75" customHeight="1" s="152">
      <c r="A576" s="1" t="n"/>
      <c r="B576" s="115" t="n"/>
      <c r="C576" s="3" t="n"/>
      <c r="D576" s="4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5.75" customHeight="1" s="152">
      <c r="A577" s="1" t="n"/>
      <c r="B577" s="115" t="n"/>
      <c r="C577" s="3" t="n"/>
      <c r="D577" s="4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5.75" customHeight="1" s="152">
      <c r="A578" s="1" t="n"/>
      <c r="B578" s="115" t="n"/>
      <c r="C578" s="3" t="n"/>
      <c r="D578" s="4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5.75" customHeight="1" s="152">
      <c r="A579" s="1" t="n"/>
      <c r="B579" s="115" t="n"/>
      <c r="C579" s="3" t="n"/>
      <c r="D579" s="4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5.75" customHeight="1" s="152">
      <c r="A580" s="1" t="n"/>
      <c r="B580" s="115" t="n"/>
      <c r="C580" s="3" t="n"/>
      <c r="D580" s="4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5.75" customHeight="1" s="152">
      <c r="A581" s="1" t="n"/>
      <c r="B581" s="115" t="n"/>
      <c r="C581" s="3" t="n"/>
      <c r="D581" s="4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5.75" customHeight="1" s="152">
      <c r="A582" s="1" t="n"/>
      <c r="B582" s="115" t="n"/>
      <c r="C582" s="3" t="n"/>
      <c r="D582" s="4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5.75" customHeight="1" s="152">
      <c r="A583" s="1" t="n"/>
      <c r="B583" s="115" t="n"/>
      <c r="C583" s="3" t="n"/>
      <c r="D583" s="4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5.75" customHeight="1" s="152">
      <c r="A584" s="1" t="n"/>
      <c r="B584" s="115" t="n"/>
      <c r="C584" s="3" t="n"/>
      <c r="D584" s="4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5.75" customHeight="1" s="152">
      <c r="A585" s="1" t="n"/>
      <c r="B585" s="115" t="n"/>
      <c r="C585" s="3" t="n"/>
      <c r="D585" s="4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5.75" customHeight="1" s="152">
      <c r="A586" s="1" t="n"/>
      <c r="B586" s="115" t="n"/>
      <c r="C586" s="3" t="n"/>
      <c r="D586" s="4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5.75" customHeight="1" s="152">
      <c r="A587" s="1" t="n"/>
      <c r="B587" s="115" t="n"/>
      <c r="C587" s="3" t="n"/>
      <c r="D587" s="4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5.75" customHeight="1" s="152">
      <c r="A588" s="1" t="n"/>
      <c r="B588" s="115" t="n"/>
      <c r="C588" s="3" t="n"/>
      <c r="D588" s="4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5.75" customHeight="1" s="152">
      <c r="A589" s="1" t="n"/>
      <c r="B589" s="115" t="n"/>
      <c r="C589" s="3" t="n"/>
      <c r="D589" s="4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5.75" customHeight="1" s="152">
      <c r="A590" s="1" t="n"/>
      <c r="B590" s="115" t="n"/>
      <c r="C590" s="3" t="n"/>
      <c r="D590" s="4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5.75" customHeight="1" s="152">
      <c r="A591" s="1" t="n"/>
      <c r="B591" s="115" t="n"/>
      <c r="C591" s="3" t="n"/>
      <c r="D591" s="4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5.75" customHeight="1" s="152">
      <c r="A592" s="1" t="n"/>
      <c r="B592" s="115" t="n"/>
      <c r="C592" s="3" t="n"/>
      <c r="D592" s="4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5.75" customHeight="1" s="152">
      <c r="A593" s="1" t="n"/>
      <c r="B593" s="115" t="n"/>
      <c r="C593" s="3" t="n"/>
      <c r="D593" s="4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5.75" customHeight="1" s="152">
      <c r="A594" s="1" t="n"/>
      <c r="B594" s="115" t="n"/>
      <c r="C594" s="3" t="n"/>
      <c r="D594" s="4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5.75" customHeight="1" s="152">
      <c r="A595" s="1" t="n"/>
      <c r="B595" s="115" t="n"/>
      <c r="C595" s="3" t="n"/>
      <c r="D595" s="4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5.75" customHeight="1" s="152">
      <c r="A596" s="1" t="n"/>
      <c r="B596" s="115" t="n"/>
      <c r="C596" s="3" t="n"/>
      <c r="D596" s="4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5.75" customHeight="1" s="152">
      <c r="A597" s="1" t="n"/>
      <c r="B597" s="115" t="n"/>
      <c r="C597" s="3" t="n"/>
      <c r="D597" s="4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5.75" customHeight="1" s="152">
      <c r="A598" s="1" t="n"/>
      <c r="B598" s="115" t="n"/>
      <c r="C598" s="3" t="n"/>
      <c r="D598" s="4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5.75" customHeight="1" s="152">
      <c r="A599" s="1" t="n"/>
      <c r="B599" s="115" t="n"/>
      <c r="C599" s="3" t="n"/>
      <c r="D599" s="4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5.75" customHeight="1" s="152">
      <c r="A600" s="1" t="n"/>
      <c r="B600" s="115" t="n"/>
      <c r="C600" s="3" t="n"/>
      <c r="D600" s="4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5.75" customHeight="1" s="152">
      <c r="A601" s="1" t="n"/>
      <c r="B601" s="115" t="n"/>
      <c r="C601" s="3" t="n"/>
      <c r="D601" s="4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5.75" customHeight="1" s="152">
      <c r="A602" s="1" t="n"/>
      <c r="B602" s="115" t="n"/>
      <c r="C602" s="3" t="n"/>
      <c r="D602" s="4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5.75" customHeight="1" s="152">
      <c r="A603" s="1" t="n"/>
      <c r="B603" s="115" t="n"/>
      <c r="C603" s="3" t="n"/>
      <c r="D603" s="4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5.75" customHeight="1" s="152">
      <c r="A604" s="1" t="n"/>
      <c r="B604" s="115" t="n"/>
      <c r="C604" s="3" t="n"/>
      <c r="D604" s="4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5.75" customHeight="1" s="152">
      <c r="A605" s="1" t="n"/>
      <c r="B605" s="115" t="n"/>
      <c r="C605" s="3" t="n"/>
      <c r="D605" s="4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5.75" customHeight="1" s="152">
      <c r="A606" s="1" t="n"/>
      <c r="B606" s="115" t="n"/>
      <c r="C606" s="3" t="n"/>
      <c r="D606" s="4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5.75" customHeight="1" s="152">
      <c r="A607" s="1" t="n"/>
      <c r="B607" s="115" t="n"/>
      <c r="C607" s="3" t="n"/>
      <c r="D607" s="4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5.75" customHeight="1" s="152">
      <c r="A608" s="1" t="n"/>
      <c r="B608" s="115" t="n"/>
      <c r="C608" s="3" t="n"/>
      <c r="D608" s="4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5.75" customHeight="1" s="152">
      <c r="A609" s="1" t="n"/>
      <c r="B609" s="115" t="n"/>
      <c r="C609" s="3" t="n"/>
      <c r="D609" s="4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5.75" customHeight="1" s="152">
      <c r="A610" s="1" t="n"/>
      <c r="B610" s="115" t="n"/>
      <c r="C610" s="3" t="n"/>
      <c r="D610" s="4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5.75" customHeight="1" s="152">
      <c r="A611" s="1" t="n"/>
      <c r="B611" s="115" t="n"/>
      <c r="C611" s="3" t="n"/>
      <c r="D611" s="4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5.75" customHeight="1" s="152">
      <c r="A612" s="1" t="n"/>
      <c r="B612" s="115" t="n"/>
      <c r="C612" s="3" t="n"/>
      <c r="D612" s="4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5.75" customHeight="1" s="152">
      <c r="A613" s="1" t="n"/>
      <c r="B613" s="115" t="n"/>
      <c r="C613" s="3" t="n"/>
      <c r="D613" s="4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5.75" customHeight="1" s="152">
      <c r="A614" s="1" t="n"/>
      <c r="B614" s="115" t="n"/>
      <c r="C614" s="3" t="n"/>
      <c r="D614" s="4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5.75" customHeight="1" s="152">
      <c r="A615" s="1" t="n"/>
      <c r="B615" s="115" t="n"/>
      <c r="C615" s="3" t="n"/>
      <c r="D615" s="4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5.75" customHeight="1" s="152">
      <c r="A616" s="1" t="n"/>
      <c r="B616" s="115" t="n"/>
      <c r="C616" s="3" t="n"/>
      <c r="D616" s="4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5.75" customHeight="1" s="152">
      <c r="A617" s="1" t="n"/>
      <c r="B617" s="115" t="n"/>
      <c r="C617" s="3" t="n"/>
      <c r="D617" s="4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5.75" customHeight="1" s="152">
      <c r="A618" s="1" t="n"/>
      <c r="B618" s="115" t="n"/>
      <c r="C618" s="3" t="n"/>
      <c r="D618" s="4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5.75" customHeight="1" s="152">
      <c r="A619" s="1" t="n"/>
      <c r="B619" s="115" t="n"/>
      <c r="C619" s="3" t="n"/>
      <c r="D619" s="4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5.75" customHeight="1" s="152">
      <c r="A620" s="1" t="n"/>
      <c r="B620" s="115" t="n"/>
      <c r="C620" s="3" t="n"/>
      <c r="D620" s="4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5.75" customHeight="1" s="152">
      <c r="A621" s="1" t="n"/>
      <c r="B621" s="115" t="n"/>
      <c r="C621" s="3" t="n"/>
      <c r="D621" s="4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5.75" customHeight="1" s="152">
      <c r="A622" s="1" t="n"/>
      <c r="B622" s="115" t="n"/>
      <c r="C622" s="3" t="n"/>
      <c r="D622" s="4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5.75" customHeight="1" s="152">
      <c r="A623" s="1" t="n"/>
      <c r="B623" s="115" t="n"/>
      <c r="C623" s="3" t="n"/>
      <c r="D623" s="4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5.75" customHeight="1" s="152">
      <c r="A624" s="1" t="n"/>
      <c r="B624" s="115" t="n"/>
      <c r="C624" s="3" t="n"/>
      <c r="D624" s="4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5.75" customHeight="1" s="152">
      <c r="A625" s="1" t="n"/>
      <c r="B625" s="115" t="n"/>
      <c r="C625" s="3" t="n"/>
      <c r="D625" s="4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5.75" customHeight="1" s="152">
      <c r="A626" s="1" t="n"/>
      <c r="B626" s="115" t="n"/>
      <c r="C626" s="3" t="n"/>
      <c r="D626" s="4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5.75" customHeight="1" s="152">
      <c r="A627" s="1" t="n"/>
      <c r="B627" s="115" t="n"/>
      <c r="C627" s="3" t="n"/>
      <c r="D627" s="4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5.75" customHeight="1" s="152">
      <c r="A628" s="1" t="n"/>
      <c r="B628" s="115" t="n"/>
      <c r="C628" s="3" t="n"/>
      <c r="D628" s="4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5.75" customHeight="1" s="152">
      <c r="A629" s="1" t="n"/>
      <c r="B629" s="115" t="n"/>
      <c r="C629" s="3" t="n"/>
      <c r="D629" s="4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5.75" customHeight="1" s="152">
      <c r="A630" s="1" t="n"/>
      <c r="B630" s="115" t="n"/>
      <c r="C630" s="3" t="n"/>
      <c r="D630" s="4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5.75" customHeight="1" s="152">
      <c r="A631" s="1" t="n"/>
      <c r="B631" s="115" t="n"/>
      <c r="C631" s="3" t="n"/>
      <c r="D631" s="4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5.75" customHeight="1" s="152">
      <c r="A632" s="1" t="n"/>
      <c r="B632" s="115" t="n"/>
      <c r="C632" s="3" t="n"/>
      <c r="D632" s="4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5.75" customHeight="1" s="152">
      <c r="A633" s="1" t="n"/>
      <c r="B633" s="115" t="n"/>
      <c r="C633" s="3" t="n"/>
      <c r="D633" s="4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5.75" customHeight="1" s="152">
      <c r="A634" s="1" t="n"/>
      <c r="B634" s="115" t="n"/>
      <c r="C634" s="3" t="n"/>
      <c r="D634" s="4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5.75" customHeight="1" s="152">
      <c r="A635" s="1" t="n"/>
      <c r="B635" s="115" t="n"/>
      <c r="C635" s="3" t="n"/>
      <c r="D635" s="4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5.75" customHeight="1" s="152">
      <c r="A636" s="1" t="n"/>
      <c r="B636" s="115" t="n"/>
      <c r="C636" s="3" t="n"/>
      <c r="D636" s="4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5.75" customHeight="1" s="152">
      <c r="A637" s="1" t="n"/>
      <c r="B637" s="115" t="n"/>
      <c r="C637" s="3" t="n"/>
      <c r="D637" s="4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5.75" customHeight="1" s="152">
      <c r="A638" s="1" t="n"/>
      <c r="B638" s="115" t="n"/>
      <c r="C638" s="3" t="n"/>
      <c r="D638" s="4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5.75" customHeight="1" s="152">
      <c r="A639" s="1" t="n"/>
      <c r="B639" s="115" t="n"/>
      <c r="C639" s="3" t="n"/>
      <c r="D639" s="4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5.75" customHeight="1" s="152">
      <c r="A640" s="1" t="n"/>
      <c r="B640" s="115" t="n"/>
      <c r="C640" s="3" t="n"/>
      <c r="D640" s="4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5.75" customHeight="1" s="152">
      <c r="A641" s="1" t="n"/>
      <c r="B641" s="115" t="n"/>
      <c r="C641" s="3" t="n"/>
      <c r="D641" s="4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5.75" customHeight="1" s="152">
      <c r="A642" s="1" t="n"/>
      <c r="B642" s="115" t="n"/>
      <c r="C642" s="3" t="n"/>
      <c r="D642" s="4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5.75" customHeight="1" s="152">
      <c r="A643" s="1" t="n"/>
      <c r="B643" s="115" t="n"/>
      <c r="C643" s="3" t="n"/>
      <c r="D643" s="4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5.75" customHeight="1" s="152">
      <c r="A644" s="1" t="n"/>
      <c r="B644" s="115" t="n"/>
      <c r="C644" s="3" t="n"/>
      <c r="D644" s="4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5.75" customHeight="1" s="152">
      <c r="A645" s="1" t="n"/>
      <c r="B645" s="115" t="n"/>
      <c r="C645" s="3" t="n"/>
      <c r="D645" s="4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5.75" customHeight="1" s="152">
      <c r="A646" s="1" t="n"/>
      <c r="B646" s="115" t="n"/>
      <c r="C646" s="3" t="n"/>
      <c r="D646" s="4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5.75" customHeight="1" s="152">
      <c r="A647" s="1" t="n"/>
      <c r="B647" s="115" t="n"/>
      <c r="C647" s="3" t="n"/>
      <c r="D647" s="4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5.75" customHeight="1" s="152">
      <c r="A648" s="1" t="n"/>
      <c r="B648" s="115" t="n"/>
      <c r="C648" s="3" t="n"/>
      <c r="D648" s="4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5.75" customHeight="1" s="152">
      <c r="A649" s="1" t="n"/>
      <c r="B649" s="115" t="n"/>
      <c r="C649" s="3" t="n"/>
      <c r="D649" s="4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5.75" customHeight="1" s="152">
      <c r="A650" s="1" t="n"/>
      <c r="B650" s="115" t="n"/>
      <c r="C650" s="3" t="n"/>
      <c r="D650" s="4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5.75" customHeight="1" s="152">
      <c r="A651" s="1" t="n"/>
      <c r="B651" s="115" t="n"/>
      <c r="C651" s="3" t="n"/>
      <c r="D651" s="4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5.75" customHeight="1" s="152">
      <c r="A652" s="1" t="n"/>
      <c r="B652" s="115" t="n"/>
      <c r="C652" s="3" t="n"/>
      <c r="D652" s="4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5.75" customHeight="1" s="152">
      <c r="A653" s="1" t="n"/>
      <c r="B653" s="115" t="n"/>
      <c r="C653" s="3" t="n"/>
      <c r="D653" s="4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5.75" customHeight="1" s="152">
      <c r="A654" s="1" t="n"/>
      <c r="B654" s="115" t="n"/>
      <c r="C654" s="3" t="n"/>
      <c r="D654" s="4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5.75" customHeight="1" s="152">
      <c r="A655" s="1" t="n"/>
      <c r="B655" s="115" t="n"/>
      <c r="C655" s="3" t="n"/>
      <c r="D655" s="4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5.75" customHeight="1" s="152">
      <c r="A656" s="1" t="n"/>
      <c r="B656" s="115" t="n"/>
      <c r="C656" s="3" t="n"/>
      <c r="D656" s="4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5.75" customHeight="1" s="152">
      <c r="A657" s="1" t="n"/>
      <c r="B657" s="115" t="n"/>
      <c r="C657" s="3" t="n"/>
      <c r="D657" s="4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5.75" customHeight="1" s="152">
      <c r="A658" s="1" t="n"/>
      <c r="B658" s="115" t="n"/>
      <c r="C658" s="3" t="n"/>
      <c r="D658" s="4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5.75" customHeight="1" s="152">
      <c r="A659" s="1" t="n"/>
      <c r="B659" s="115" t="n"/>
      <c r="C659" s="3" t="n"/>
      <c r="D659" s="4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5.75" customHeight="1" s="152">
      <c r="A660" s="1" t="n"/>
      <c r="B660" s="115" t="n"/>
      <c r="C660" s="3" t="n"/>
      <c r="D660" s="4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5.75" customHeight="1" s="152">
      <c r="A661" s="1" t="n"/>
      <c r="B661" s="115" t="n"/>
      <c r="C661" s="3" t="n"/>
      <c r="D661" s="4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5.75" customHeight="1" s="152">
      <c r="A662" s="1" t="n"/>
      <c r="B662" s="115" t="n"/>
      <c r="C662" s="3" t="n"/>
      <c r="D662" s="4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5.75" customHeight="1" s="152">
      <c r="A663" s="1" t="n"/>
      <c r="B663" s="115" t="n"/>
      <c r="C663" s="3" t="n"/>
      <c r="D663" s="4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5.75" customHeight="1" s="152">
      <c r="A664" s="1" t="n"/>
      <c r="B664" s="115" t="n"/>
      <c r="C664" s="3" t="n"/>
      <c r="D664" s="4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5.75" customHeight="1" s="152">
      <c r="A665" s="1" t="n"/>
      <c r="B665" s="115" t="n"/>
      <c r="C665" s="3" t="n"/>
      <c r="D665" s="4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5.75" customHeight="1" s="152">
      <c r="A666" s="1" t="n"/>
      <c r="B666" s="115" t="n"/>
      <c r="C666" s="3" t="n"/>
      <c r="D666" s="4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5.75" customHeight="1" s="152">
      <c r="A667" s="1" t="n"/>
      <c r="B667" s="115" t="n"/>
      <c r="C667" s="3" t="n"/>
      <c r="D667" s="4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5.75" customHeight="1" s="152">
      <c r="A668" s="1" t="n"/>
      <c r="B668" s="115" t="n"/>
      <c r="C668" s="3" t="n"/>
      <c r="D668" s="4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5.75" customHeight="1" s="152">
      <c r="A669" s="1" t="n"/>
      <c r="B669" s="115" t="n"/>
      <c r="C669" s="3" t="n"/>
      <c r="D669" s="4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5.75" customHeight="1" s="152">
      <c r="A670" s="1" t="n"/>
      <c r="B670" s="115" t="n"/>
      <c r="C670" s="3" t="n"/>
      <c r="D670" s="4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5.75" customHeight="1" s="152">
      <c r="A671" s="1" t="n"/>
      <c r="B671" s="115" t="n"/>
      <c r="C671" s="3" t="n"/>
      <c r="D671" s="4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5.75" customHeight="1" s="152">
      <c r="A672" s="1" t="n"/>
      <c r="B672" s="115" t="n"/>
      <c r="C672" s="3" t="n"/>
      <c r="D672" s="4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5.75" customHeight="1" s="152">
      <c r="A673" s="1" t="n"/>
      <c r="B673" s="115" t="n"/>
      <c r="C673" s="3" t="n"/>
      <c r="D673" s="4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5.75" customHeight="1" s="152">
      <c r="A674" s="1" t="n"/>
      <c r="B674" s="115" t="n"/>
      <c r="C674" s="3" t="n"/>
      <c r="D674" s="4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5.75" customHeight="1" s="152">
      <c r="A675" s="1" t="n"/>
      <c r="B675" s="115" t="n"/>
      <c r="C675" s="3" t="n"/>
      <c r="D675" s="4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5.75" customHeight="1" s="152">
      <c r="A676" s="1" t="n"/>
      <c r="B676" s="115" t="n"/>
      <c r="C676" s="3" t="n"/>
      <c r="D676" s="4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5.75" customHeight="1" s="152">
      <c r="A677" s="1" t="n"/>
      <c r="B677" s="115" t="n"/>
      <c r="C677" s="3" t="n"/>
      <c r="D677" s="4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5.75" customHeight="1" s="152">
      <c r="A678" s="1" t="n"/>
      <c r="B678" s="115" t="n"/>
      <c r="C678" s="3" t="n"/>
      <c r="D678" s="4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5.75" customHeight="1" s="152">
      <c r="A679" s="1" t="n"/>
      <c r="B679" s="115" t="n"/>
      <c r="C679" s="3" t="n"/>
      <c r="D679" s="4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5.75" customHeight="1" s="152">
      <c r="A680" s="1" t="n"/>
      <c r="B680" s="115" t="n"/>
      <c r="C680" s="3" t="n"/>
      <c r="D680" s="4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5.75" customHeight="1" s="152">
      <c r="A681" s="1" t="n"/>
      <c r="B681" s="115" t="n"/>
      <c r="C681" s="3" t="n"/>
      <c r="D681" s="4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5.75" customHeight="1" s="152">
      <c r="A682" s="1" t="n"/>
      <c r="B682" s="115" t="n"/>
      <c r="C682" s="3" t="n"/>
      <c r="D682" s="4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5.75" customHeight="1" s="152">
      <c r="A683" s="1" t="n"/>
      <c r="B683" s="115" t="n"/>
      <c r="C683" s="3" t="n"/>
      <c r="D683" s="4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5.75" customHeight="1" s="152">
      <c r="A684" s="1" t="n"/>
      <c r="B684" s="115" t="n"/>
      <c r="C684" s="3" t="n"/>
      <c r="D684" s="4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5.75" customHeight="1" s="152">
      <c r="A685" s="1" t="n"/>
      <c r="B685" s="115" t="n"/>
      <c r="C685" s="3" t="n"/>
      <c r="D685" s="4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5.75" customHeight="1" s="152">
      <c r="A686" s="1" t="n"/>
      <c r="B686" s="115" t="n"/>
      <c r="C686" s="3" t="n"/>
      <c r="D686" s="4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5.75" customHeight="1" s="152">
      <c r="A687" s="1" t="n"/>
      <c r="B687" s="115" t="n"/>
      <c r="C687" s="3" t="n"/>
      <c r="D687" s="4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5.75" customHeight="1" s="152">
      <c r="A688" s="1" t="n"/>
      <c r="B688" s="115" t="n"/>
      <c r="C688" s="3" t="n"/>
      <c r="D688" s="4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5.75" customHeight="1" s="152">
      <c r="A689" s="1" t="n"/>
      <c r="B689" s="115" t="n"/>
      <c r="C689" s="3" t="n"/>
      <c r="D689" s="4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5.75" customHeight="1" s="152">
      <c r="A690" s="1" t="n"/>
      <c r="B690" s="115" t="n"/>
      <c r="C690" s="3" t="n"/>
      <c r="D690" s="4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5.75" customHeight="1" s="152">
      <c r="A691" s="1" t="n"/>
      <c r="B691" s="115" t="n"/>
      <c r="C691" s="3" t="n"/>
      <c r="D691" s="4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5.75" customHeight="1" s="152">
      <c r="A692" s="1" t="n"/>
      <c r="B692" s="115" t="n"/>
      <c r="C692" s="3" t="n"/>
      <c r="D692" s="4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5.75" customHeight="1" s="152">
      <c r="A693" s="1" t="n"/>
      <c r="B693" s="115" t="n"/>
      <c r="C693" s="3" t="n"/>
      <c r="D693" s="4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5.75" customHeight="1" s="152">
      <c r="A694" s="1" t="n"/>
      <c r="B694" s="115" t="n"/>
      <c r="C694" s="3" t="n"/>
      <c r="D694" s="4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5.75" customHeight="1" s="152">
      <c r="A695" s="1" t="n"/>
      <c r="B695" s="115" t="n"/>
      <c r="C695" s="3" t="n"/>
      <c r="D695" s="4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5.75" customHeight="1" s="152">
      <c r="A696" s="1" t="n"/>
      <c r="B696" s="115" t="n"/>
      <c r="C696" s="3" t="n"/>
      <c r="D696" s="4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5.75" customHeight="1" s="152">
      <c r="A697" s="1" t="n"/>
      <c r="B697" s="115" t="n"/>
      <c r="C697" s="3" t="n"/>
      <c r="D697" s="4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5.75" customHeight="1" s="152">
      <c r="A698" s="1" t="n"/>
      <c r="B698" s="115" t="n"/>
      <c r="C698" s="3" t="n"/>
      <c r="D698" s="4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5.75" customHeight="1" s="152">
      <c r="A699" s="1" t="n"/>
      <c r="B699" s="115" t="n"/>
      <c r="C699" s="3" t="n"/>
      <c r="D699" s="4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5.75" customHeight="1" s="152">
      <c r="A700" s="1" t="n"/>
      <c r="B700" s="115" t="n"/>
      <c r="C700" s="3" t="n"/>
      <c r="D700" s="4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5.75" customHeight="1" s="152">
      <c r="A701" s="1" t="n"/>
      <c r="B701" s="115" t="n"/>
      <c r="C701" s="3" t="n"/>
      <c r="D701" s="4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5.75" customHeight="1" s="152">
      <c r="A702" s="1" t="n"/>
      <c r="B702" s="115" t="n"/>
      <c r="C702" s="3" t="n"/>
      <c r="D702" s="4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5.75" customHeight="1" s="152">
      <c r="A703" s="1" t="n"/>
      <c r="B703" s="115" t="n"/>
      <c r="C703" s="3" t="n"/>
      <c r="D703" s="4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5.75" customHeight="1" s="152">
      <c r="A704" s="1" t="n"/>
      <c r="B704" s="115" t="n"/>
      <c r="C704" s="3" t="n"/>
      <c r="D704" s="4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5.75" customHeight="1" s="152">
      <c r="A705" s="1" t="n"/>
      <c r="B705" s="115" t="n"/>
      <c r="C705" s="3" t="n"/>
      <c r="D705" s="4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5.75" customHeight="1" s="152">
      <c r="A706" s="1" t="n"/>
      <c r="B706" s="115" t="n"/>
      <c r="C706" s="3" t="n"/>
      <c r="D706" s="4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5.75" customHeight="1" s="152">
      <c r="A707" s="1" t="n"/>
      <c r="B707" s="115" t="n"/>
      <c r="C707" s="3" t="n"/>
      <c r="D707" s="4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5.75" customHeight="1" s="152">
      <c r="A708" s="1" t="n"/>
      <c r="B708" s="115" t="n"/>
      <c r="C708" s="3" t="n"/>
      <c r="D708" s="4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5.75" customHeight="1" s="152">
      <c r="A709" s="1" t="n"/>
      <c r="B709" s="115" t="n"/>
      <c r="C709" s="3" t="n"/>
      <c r="D709" s="4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5.75" customHeight="1" s="152">
      <c r="A710" s="1" t="n"/>
      <c r="B710" s="115" t="n"/>
      <c r="C710" s="3" t="n"/>
      <c r="D710" s="4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5.75" customHeight="1" s="152">
      <c r="A711" s="1" t="n"/>
      <c r="B711" s="115" t="n"/>
      <c r="C711" s="3" t="n"/>
      <c r="D711" s="4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5.75" customHeight="1" s="152">
      <c r="A712" s="1" t="n"/>
      <c r="B712" s="115" t="n"/>
      <c r="C712" s="3" t="n"/>
      <c r="D712" s="4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5.75" customHeight="1" s="152">
      <c r="A713" s="1" t="n"/>
      <c r="B713" s="115" t="n"/>
      <c r="C713" s="3" t="n"/>
      <c r="D713" s="4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5.75" customHeight="1" s="152">
      <c r="A714" s="1" t="n"/>
      <c r="B714" s="115" t="n"/>
      <c r="C714" s="3" t="n"/>
      <c r="D714" s="4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5.75" customHeight="1" s="152">
      <c r="A715" s="1" t="n"/>
      <c r="B715" s="115" t="n"/>
      <c r="C715" s="3" t="n"/>
      <c r="D715" s="4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5.75" customHeight="1" s="152">
      <c r="A716" s="1" t="n"/>
      <c r="B716" s="115" t="n"/>
      <c r="C716" s="3" t="n"/>
      <c r="D716" s="4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5.75" customHeight="1" s="152">
      <c r="A717" s="1" t="n"/>
      <c r="B717" s="115" t="n"/>
      <c r="C717" s="3" t="n"/>
      <c r="D717" s="4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5.75" customHeight="1" s="152">
      <c r="A718" s="1" t="n"/>
      <c r="B718" s="115" t="n"/>
      <c r="C718" s="3" t="n"/>
      <c r="D718" s="4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5.75" customHeight="1" s="152">
      <c r="A719" s="1" t="n"/>
      <c r="B719" s="115" t="n"/>
      <c r="C719" s="3" t="n"/>
      <c r="D719" s="4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5.75" customHeight="1" s="152">
      <c r="A720" s="1" t="n"/>
      <c r="B720" s="115" t="n"/>
      <c r="C720" s="3" t="n"/>
      <c r="D720" s="4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5.75" customHeight="1" s="152">
      <c r="A721" s="1" t="n"/>
      <c r="B721" s="115" t="n"/>
      <c r="C721" s="3" t="n"/>
      <c r="D721" s="4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5.75" customHeight="1" s="152">
      <c r="A722" s="1" t="n"/>
      <c r="B722" s="115" t="n"/>
      <c r="C722" s="3" t="n"/>
      <c r="D722" s="4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5.75" customHeight="1" s="152">
      <c r="A723" s="1" t="n"/>
      <c r="B723" s="115" t="n"/>
      <c r="C723" s="3" t="n"/>
      <c r="D723" s="4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5.75" customHeight="1" s="152">
      <c r="A724" s="1" t="n"/>
      <c r="B724" s="115" t="n"/>
      <c r="C724" s="3" t="n"/>
      <c r="D724" s="4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5.75" customHeight="1" s="152">
      <c r="A725" s="1" t="n"/>
      <c r="B725" s="115" t="n"/>
      <c r="C725" s="3" t="n"/>
      <c r="D725" s="4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5.75" customHeight="1" s="152">
      <c r="A726" s="1" t="n"/>
      <c r="B726" s="115" t="n"/>
      <c r="C726" s="3" t="n"/>
      <c r="D726" s="4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5.75" customHeight="1" s="152">
      <c r="A727" s="1" t="n"/>
      <c r="B727" s="115" t="n"/>
      <c r="C727" s="3" t="n"/>
      <c r="D727" s="4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5.75" customHeight="1" s="152">
      <c r="A728" s="1" t="n"/>
      <c r="B728" s="115" t="n"/>
      <c r="C728" s="3" t="n"/>
      <c r="D728" s="4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5.75" customHeight="1" s="152">
      <c r="A729" s="1" t="n"/>
      <c r="B729" s="115" t="n"/>
      <c r="C729" s="3" t="n"/>
      <c r="D729" s="4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5.75" customHeight="1" s="152">
      <c r="A730" s="1" t="n"/>
      <c r="B730" s="115" t="n"/>
      <c r="C730" s="3" t="n"/>
      <c r="D730" s="4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5.75" customHeight="1" s="152">
      <c r="A731" s="1" t="n"/>
      <c r="B731" s="115" t="n"/>
      <c r="C731" s="3" t="n"/>
      <c r="D731" s="4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5.75" customHeight="1" s="152">
      <c r="A732" s="1" t="n"/>
      <c r="B732" s="115" t="n"/>
      <c r="C732" s="3" t="n"/>
      <c r="D732" s="4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5.75" customHeight="1" s="152">
      <c r="A733" s="1" t="n"/>
      <c r="B733" s="115" t="n"/>
      <c r="C733" s="3" t="n"/>
      <c r="D733" s="4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5.75" customHeight="1" s="152">
      <c r="A734" s="1" t="n"/>
      <c r="B734" s="115" t="n"/>
      <c r="C734" s="3" t="n"/>
      <c r="D734" s="4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5.75" customHeight="1" s="152">
      <c r="A735" s="1" t="n"/>
      <c r="B735" s="115" t="n"/>
      <c r="C735" s="3" t="n"/>
      <c r="D735" s="4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5.75" customHeight="1" s="152">
      <c r="A736" s="1" t="n"/>
      <c r="B736" s="115" t="n"/>
      <c r="C736" s="3" t="n"/>
      <c r="D736" s="4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5.75" customHeight="1" s="152">
      <c r="A737" s="1" t="n"/>
      <c r="B737" s="115" t="n"/>
      <c r="C737" s="3" t="n"/>
      <c r="D737" s="4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5.75" customHeight="1" s="152">
      <c r="A738" s="1" t="n"/>
      <c r="B738" s="115" t="n"/>
      <c r="C738" s="3" t="n"/>
      <c r="D738" s="4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5.75" customHeight="1" s="152">
      <c r="A739" s="1" t="n"/>
      <c r="B739" s="115" t="n"/>
      <c r="C739" s="3" t="n"/>
      <c r="D739" s="4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5.75" customHeight="1" s="152">
      <c r="A740" s="1" t="n"/>
      <c r="B740" s="115" t="n"/>
      <c r="C740" s="3" t="n"/>
      <c r="D740" s="4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5.75" customHeight="1" s="152">
      <c r="A741" s="1" t="n"/>
      <c r="B741" s="115" t="n"/>
      <c r="C741" s="3" t="n"/>
      <c r="D741" s="4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5.75" customHeight="1" s="152">
      <c r="A742" s="1" t="n"/>
      <c r="B742" s="115" t="n"/>
      <c r="C742" s="3" t="n"/>
      <c r="D742" s="4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5.75" customHeight="1" s="152">
      <c r="A743" s="1" t="n"/>
      <c r="B743" s="115" t="n"/>
      <c r="C743" s="3" t="n"/>
      <c r="D743" s="4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5.75" customHeight="1" s="152">
      <c r="A744" s="1" t="n"/>
      <c r="B744" s="115" t="n"/>
      <c r="C744" s="3" t="n"/>
      <c r="D744" s="4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5.75" customHeight="1" s="152">
      <c r="A745" s="1" t="n"/>
      <c r="B745" s="115" t="n"/>
      <c r="C745" s="3" t="n"/>
      <c r="D745" s="4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5.75" customHeight="1" s="152">
      <c r="A746" s="1" t="n"/>
      <c r="B746" s="115" t="n"/>
      <c r="C746" s="3" t="n"/>
      <c r="D746" s="4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5.75" customHeight="1" s="152">
      <c r="A747" s="1" t="n"/>
      <c r="B747" s="115" t="n"/>
      <c r="C747" s="3" t="n"/>
      <c r="D747" s="4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5.75" customHeight="1" s="152">
      <c r="A748" s="1" t="n"/>
      <c r="B748" s="115" t="n"/>
      <c r="C748" s="3" t="n"/>
      <c r="D748" s="4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5.75" customHeight="1" s="152">
      <c r="A749" s="1" t="n"/>
      <c r="B749" s="115" t="n"/>
      <c r="C749" s="3" t="n"/>
      <c r="D749" s="4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5.75" customHeight="1" s="152">
      <c r="A750" s="1" t="n"/>
      <c r="B750" s="115" t="n"/>
      <c r="C750" s="3" t="n"/>
      <c r="D750" s="4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5.75" customHeight="1" s="152">
      <c r="A751" s="1" t="n"/>
      <c r="B751" s="115" t="n"/>
      <c r="C751" s="3" t="n"/>
      <c r="D751" s="4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5.75" customHeight="1" s="152">
      <c r="A752" s="1" t="n"/>
      <c r="B752" s="115" t="n"/>
      <c r="C752" s="3" t="n"/>
      <c r="D752" s="4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5.75" customHeight="1" s="152">
      <c r="A753" s="1" t="n"/>
      <c r="B753" s="115" t="n"/>
      <c r="C753" s="3" t="n"/>
      <c r="D753" s="4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5.75" customHeight="1" s="152">
      <c r="A754" s="1" t="n"/>
      <c r="B754" s="115" t="n"/>
      <c r="C754" s="3" t="n"/>
      <c r="D754" s="4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5.75" customHeight="1" s="152">
      <c r="A755" s="1" t="n"/>
      <c r="B755" s="115" t="n"/>
      <c r="C755" s="3" t="n"/>
      <c r="D755" s="4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5.75" customHeight="1" s="152">
      <c r="A756" s="1" t="n"/>
      <c r="B756" s="115" t="n"/>
      <c r="C756" s="3" t="n"/>
      <c r="D756" s="4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5.75" customHeight="1" s="152">
      <c r="A757" s="1" t="n"/>
      <c r="B757" s="115" t="n"/>
      <c r="C757" s="3" t="n"/>
      <c r="D757" s="4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5.75" customHeight="1" s="152">
      <c r="A758" s="1" t="n"/>
      <c r="B758" s="115" t="n"/>
      <c r="C758" s="3" t="n"/>
      <c r="D758" s="4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5.75" customHeight="1" s="152">
      <c r="A759" s="1" t="n"/>
      <c r="B759" s="115" t="n"/>
      <c r="C759" s="3" t="n"/>
      <c r="D759" s="4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5.75" customHeight="1" s="152">
      <c r="A760" s="1" t="n"/>
      <c r="B760" s="115" t="n"/>
      <c r="C760" s="3" t="n"/>
      <c r="D760" s="4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5.75" customHeight="1" s="152">
      <c r="A761" s="1" t="n"/>
      <c r="B761" s="115" t="n"/>
      <c r="C761" s="3" t="n"/>
      <c r="D761" s="4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5.75" customHeight="1" s="152">
      <c r="A762" s="1" t="n"/>
      <c r="B762" s="115" t="n"/>
      <c r="C762" s="3" t="n"/>
      <c r="D762" s="4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5.75" customHeight="1" s="152">
      <c r="A763" s="1" t="n"/>
      <c r="B763" s="115" t="n"/>
      <c r="C763" s="3" t="n"/>
      <c r="D763" s="4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5.75" customHeight="1" s="152">
      <c r="A764" s="1" t="n"/>
      <c r="B764" s="115" t="n"/>
      <c r="C764" s="3" t="n"/>
      <c r="D764" s="4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5.75" customHeight="1" s="152">
      <c r="A765" s="1" t="n"/>
      <c r="B765" s="115" t="n"/>
      <c r="C765" s="3" t="n"/>
      <c r="D765" s="4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5.75" customHeight="1" s="152">
      <c r="A766" s="1" t="n"/>
      <c r="B766" s="115" t="n"/>
      <c r="C766" s="3" t="n"/>
      <c r="D766" s="4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5.75" customHeight="1" s="152">
      <c r="A767" s="1" t="n"/>
      <c r="B767" s="115" t="n"/>
      <c r="C767" s="3" t="n"/>
      <c r="D767" s="4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5.75" customHeight="1" s="152">
      <c r="A768" s="1" t="n"/>
      <c r="B768" s="115" t="n"/>
      <c r="C768" s="3" t="n"/>
      <c r="D768" s="4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5.75" customHeight="1" s="152">
      <c r="A769" s="1" t="n"/>
      <c r="B769" s="115" t="n"/>
      <c r="C769" s="3" t="n"/>
      <c r="D769" s="4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5.75" customHeight="1" s="152">
      <c r="A770" s="1" t="n"/>
      <c r="B770" s="115" t="n"/>
      <c r="C770" s="3" t="n"/>
      <c r="D770" s="4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5.75" customHeight="1" s="152">
      <c r="A771" s="1" t="n"/>
      <c r="B771" s="115" t="n"/>
      <c r="C771" s="3" t="n"/>
      <c r="D771" s="4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5.75" customHeight="1" s="152">
      <c r="A772" s="1" t="n"/>
      <c r="B772" s="115" t="n"/>
      <c r="C772" s="3" t="n"/>
      <c r="D772" s="4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5.75" customHeight="1" s="152">
      <c r="A773" s="1" t="n"/>
      <c r="B773" s="115" t="n"/>
      <c r="C773" s="3" t="n"/>
      <c r="D773" s="4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5.75" customHeight="1" s="152">
      <c r="A774" s="1" t="n"/>
      <c r="B774" s="115" t="n"/>
      <c r="C774" s="3" t="n"/>
      <c r="D774" s="4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5.75" customHeight="1" s="152">
      <c r="A775" s="1" t="n"/>
      <c r="B775" s="115" t="n"/>
      <c r="C775" s="3" t="n"/>
      <c r="D775" s="4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5.75" customHeight="1" s="152">
      <c r="A776" s="1" t="n"/>
      <c r="B776" s="115" t="n"/>
      <c r="C776" s="3" t="n"/>
      <c r="D776" s="4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5.75" customHeight="1" s="152">
      <c r="A777" s="1" t="n"/>
      <c r="B777" s="115" t="n"/>
      <c r="C777" s="3" t="n"/>
      <c r="D777" s="4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5.75" customHeight="1" s="152">
      <c r="A778" s="1" t="n"/>
      <c r="B778" s="115" t="n"/>
      <c r="C778" s="3" t="n"/>
      <c r="D778" s="4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5.75" customHeight="1" s="152">
      <c r="A779" s="1" t="n"/>
      <c r="B779" s="115" t="n"/>
      <c r="C779" s="3" t="n"/>
      <c r="D779" s="4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5.75" customHeight="1" s="152">
      <c r="A780" s="1" t="n"/>
      <c r="B780" s="115" t="n"/>
      <c r="C780" s="3" t="n"/>
      <c r="D780" s="4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5.75" customHeight="1" s="152">
      <c r="A781" s="1" t="n"/>
      <c r="B781" s="115" t="n"/>
      <c r="C781" s="3" t="n"/>
      <c r="D781" s="4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5.75" customHeight="1" s="152">
      <c r="A782" s="1" t="n"/>
      <c r="B782" s="115" t="n"/>
      <c r="C782" s="3" t="n"/>
      <c r="D782" s="4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5.75" customHeight="1" s="152">
      <c r="A783" s="1" t="n"/>
      <c r="B783" s="115" t="n"/>
      <c r="C783" s="3" t="n"/>
      <c r="D783" s="4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5.75" customHeight="1" s="152">
      <c r="A784" s="1" t="n"/>
      <c r="B784" s="115" t="n"/>
      <c r="C784" s="3" t="n"/>
      <c r="D784" s="4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5.75" customHeight="1" s="152">
      <c r="A785" s="1" t="n"/>
      <c r="B785" s="115" t="n"/>
      <c r="C785" s="3" t="n"/>
      <c r="D785" s="4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5.75" customHeight="1" s="152">
      <c r="A786" s="1" t="n"/>
      <c r="B786" s="115" t="n"/>
      <c r="C786" s="3" t="n"/>
      <c r="D786" s="4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5.75" customHeight="1" s="152">
      <c r="A787" s="1" t="n"/>
      <c r="B787" s="115" t="n"/>
      <c r="C787" s="3" t="n"/>
      <c r="D787" s="4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5.75" customHeight="1" s="152">
      <c r="A788" s="1" t="n"/>
      <c r="B788" s="115" t="n"/>
      <c r="C788" s="3" t="n"/>
      <c r="D788" s="4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5.75" customHeight="1" s="152">
      <c r="A789" s="1" t="n"/>
      <c r="B789" s="115" t="n"/>
      <c r="C789" s="3" t="n"/>
      <c r="D789" s="4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5.75" customHeight="1" s="152">
      <c r="A790" s="1" t="n"/>
      <c r="B790" s="115" t="n"/>
      <c r="C790" s="3" t="n"/>
      <c r="D790" s="4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5.75" customHeight="1" s="152">
      <c r="A791" s="1" t="n"/>
      <c r="B791" s="115" t="n"/>
      <c r="C791" s="3" t="n"/>
      <c r="D791" s="4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5.75" customHeight="1" s="152">
      <c r="A792" s="1" t="n"/>
      <c r="B792" s="115" t="n"/>
      <c r="C792" s="3" t="n"/>
      <c r="D792" s="4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5.75" customHeight="1" s="152">
      <c r="A793" s="1" t="n"/>
      <c r="B793" s="115" t="n"/>
      <c r="C793" s="3" t="n"/>
      <c r="D793" s="4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5.75" customHeight="1" s="152">
      <c r="A794" s="1" t="n"/>
      <c r="B794" s="115" t="n"/>
      <c r="C794" s="3" t="n"/>
      <c r="D794" s="4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5.75" customHeight="1" s="152">
      <c r="A795" s="1" t="n"/>
      <c r="B795" s="115" t="n"/>
      <c r="C795" s="3" t="n"/>
      <c r="D795" s="4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5.75" customHeight="1" s="152">
      <c r="A796" s="1" t="n"/>
      <c r="B796" s="115" t="n"/>
      <c r="C796" s="3" t="n"/>
      <c r="D796" s="4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5.75" customHeight="1" s="152">
      <c r="A797" s="1" t="n"/>
      <c r="B797" s="115" t="n"/>
      <c r="C797" s="3" t="n"/>
      <c r="D797" s="4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5.75" customHeight="1" s="152">
      <c r="A798" s="1" t="n"/>
      <c r="B798" s="115" t="n"/>
      <c r="C798" s="3" t="n"/>
      <c r="D798" s="4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5.75" customHeight="1" s="152">
      <c r="A799" s="1" t="n"/>
      <c r="B799" s="115" t="n"/>
      <c r="C799" s="3" t="n"/>
      <c r="D799" s="4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5.75" customHeight="1" s="152">
      <c r="A800" s="1" t="n"/>
      <c r="B800" s="115" t="n"/>
      <c r="C800" s="3" t="n"/>
      <c r="D800" s="4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5.75" customHeight="1" s="152">
      <c r="A801" s="1" t="n"/>
      <c r="B801" s="115" t="n"/>
      <c r="C801" s="3" t="n"/>
      <c r="D801" s="4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5.75" customHeight="1" s="152">
      <c r="A802" s="1" t="n"/>
      <c r="B802" s="115" t="n"/>
      <c r="C802" s="3" t="n"/>
      <c r="D802" s="4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5.75" customHeight="1" s="152">
      <c r="A803" s="1" t="n"/>
      <c r="B803" s="115" t="n"/>
      <c r="C803" s="3" t="n"/>
      <c r="D803" s="4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5.75" customHeight="1" s="152">
      <c r="A804" s="1" t="n"/>
      <c r="B804" s="115" t="n"/>
      <c r="C804" s="3" t="n"/>
      <c r="D804" s="4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5.75" customHeight="1" s="152">
      <c r="A805" s="1" t="n"/>
      <c r="B805" s="115" t="n"/>
      <c r="C805" s="3" t="n"/>
      <c r="D805" s="4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5.75" customHeight="1" s="152">
      <c r="A806" s="1" t="n"/>
      <c r="B806" s="115" t="n"/>
      <c r="C806" s="3" t="n"/>
      <c r="D806" s="4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5.75" customHeight="1" s="152">
      <c r="A807" s="1" t="n"/>
      <c r="B807" s="115" t="n"/>
      <c r="C807" s="3" t="n"/>
      <c r="D807" s="4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5.75" customHeight="1" s="152">
      <c r="A808" s="1" t="n"/>
      <c r="B808" s="115" t="n"/>
      <c r="C808" s="3" t="n"/>
      <c r="D808" s="4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5.75" customHeight="1" s="152">
      <c r="A809" s="1" t="n"/>
      <c r="B809" s="115" t="n"/>
      <c r="C809" s="3" t="n"/>
      <c r="D809" s="4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5.75" customHeight="1" s="152">
      <c r="A810" s="1" t="n"/>
      <c r="B810" s="115" t="n"/>
      <c r="C810" s="3" t="n"/>
      <c r="D810" s="4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5.75" customHeight="1" s="152">
      <c r="A811" s="1" t="n"/>
      <c r="B811" s="115" t="n"/>
      <c r="C811" s="3" t="n"/>
      <c r="D811" s="4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5.75" customHeight="1" s="152">
      <c r="A812" s="1" t="n"/>
      <c r="B812" s="115" t="n"/>
      <c r="C812" s="3" t="n"/>
      <c r="D812" s="4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5.75" customHeight="1" s="152">
      <c r="A813" s="1" t="n"/>
      <c r="B813" s="115" t="n"/>
      <c r="C813" s="3" t="n"/>
      <c r="D813" s="4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5.75" customHeight="1" s="152">
      <c r="A814" s="1" t="n"/>
      <c r="B814" s="115" t="n"/>
      <c r="C814" s="3" t="n"/>
      <c r="D814" s="4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5.75" customHeight="1" s="152">
      <c r="A815" s="1" t="n"/>
      <c r="B815" s="115" t="n"/>
      <c r="C815" s="3" t="n"/>
      <c r="D815" s="4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5.75" customHeight="1" s="152">
      <c r="A816" s="1" t="n"/>
      <c r="B816" s="115" t="n"/>
      <c r="C816" s="3" t="n"/>
      <c r="D816" s="4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5.75" customHeight="1" s="152">
      <c r="A817" s="1" t="n"/>
      <c r="B817" s="115" t="n"/>
      <c r="C817" s="3" t="n"/>
      <c r="D817" s="4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5.75" customHeight="1" s="152">
      <c r="A818" s="1" t="n"/>
      <c r="B818" s="115" t="n"/>
      <c r="C818" s="3" t="n"/>
      <c r="D818" s="4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5.75" customHeight="1" s="152">
      <c r="A819" s="1" t="n"/>
      <c r="B819" s="115" t="n"/>
      <c r="C819" s="3" t="n"/>
      <c r="D819" s="4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5.75" customHeight="1" s="152">
      <c r="A820" s="1" t="n"/>
      <c r="B820" s="115" t="n"/>
      <c r="C820" s="3" t="n"/>
      <c r="D820" s="4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5.75" customHeight="1" s="152">
      <c r="A821" s="1" t="n"/>
      <c r="B821" s="115" t="n"/>
      <c r="C821" s="3" t="n"/>
      <c r="D821" s="4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5.75" customHeight="1" s="152">
      <c r="A822" s="1" t="n"/>
      <c r="B822" s="115" t="n"/>
      <c r="C822" s="3" t="n"/>
      <c r="D822" s="4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5.75" customHeight="1" s="152">
      <c r="A823" s="1" t="n"/>
      <c r="B823" s="115" t="n"/>
      <c r="C823" s="3" t="n"/>
      <c r="D823" s="4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5.75" customHeight="1" s="152">
      <c r="A824" s="1" t="n"/>
      <c r="B824" s="115" t="n"/>
      <c r="C824" s="3" t="n"/>
      <c r="D824" s="4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5.75" customHeight="1" s="152">
      <c r="A825" s="1" t="n"/>
      <c r="B825" s="115" t="n"/>
      <c r="C825" s="3" t="n"/>
      <c r="D825" s="4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5.75" customHeight="1" s="152">
      <c r="A826" s="1" t="n"/>
      <c r="B826" s="115" t="n"/>
      <c r="C826" s="3" t="n"/>
      <c r="D826" s="4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5.75" customHeight="1" s="152">
      <c r="A827" s="1" t="n"/>
      <c r="B827" s="115" t="n"/>
      <c r="C827" s="3" t="n"/>
      <c r="D827" s="4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5.75" customHeight="1" s="152">
      <c r="A828" s="1" t="n"/>
      <c r="B828" s="115" t="n"/>
      <c r="C828" s="3" t="n"/>
      <c r="D828" s="4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5.75" customHeight="1" s="152">
      <c r="A829" s="1" t="n"/>
      <c r="B829" s="115" t="n"/>
      <c r="C829" s="3" t="n"/>
      <c r="D829" s="4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5.75" customHeight="1" s="152">
      <c r="A830" s="1" t="n"/>
      <c r="B830" s="115" t="n"/>
      <c r="C830" s="3" t="n"/>
      <c r="D830" s="4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5.75" customHeight="1" s="152">
      <c r="A831" s="1" t="n"/>
      <c r="B831" s="115" t="n"/>
      <c r="C831" s="3" t="n"/>
      <c r="D831" s="4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5.75" customHeight="1" s="152">
      <c r="A832" s="1" t="n"/>
      <c r="B832" s="115" t="n"/>
      <c r="C832" s="3" t="n"/>
      <c r="D832" s="4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5.75" customHeight="1" s="152">
      <c r="A833" s="1" t="n"/>
      <c r="B833" s="115" t="n"/>
      <c r="C833" s="3" t="n"/>
      <c r="D833" s="4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5.75" customHeight="1" s="152">
      <c r="A834" s="1" t="n"/>
      <c r="B834" s="115" t="n"/>
      <c r="C834" s="3" t="n"/>
      <c r="D834" s="4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5.75" customHeight="1" s="152">
      <c r="A835" s="1" t="n"/>
      <c r="B835" s="115" t="n"/>
      <c r="C835" s="3" t="n"/>
      <c r="D835" s="4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5.75" customHeight="1" s="152">
      <c r="A836" s="1" t="n"/>
      <c r="B836" s="115" t="n"/>
      <c r="C836" s="3" t="n"/>
      <c r="D836" s="4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5.75" customHeight="1" s="152">
      <c r="A837" s="1" t="n"/>
      <c r="B837" s="115" t="n"/>
      <c r="C837" s="3" t="n"/>
      <c r="D837" s="4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5.75" customHeight="1" s="152">
      <c r="A838" s="1" t="n"/>
      <c r="B838" s="115" t="n"/>
      <c r="C838" s="3" t="n"/>
      <c r="D838" s="4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5.75" customHeight="1" s="152">
      <c r="A839" s="1" t="n"/>
      <c r="B839" s="115" t="n"/>
      <c r="C839" s="3" t="n"/>
      <c r="D839" s="4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5.75" customHeight="1" s="152">
      <c r="A840" s="1" t="n"/>
      <c r="B840" s="115" t="n"/>
      <c r="C840" s="3" t="n"/>
      <c r="D840" s="4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5.75" customHeight="1" s="152">
      <c r="A841" s="1" t="n"/>
      <c r="B841" s="115" t="n"/>
      <c r="C841" s="3" t="n"/>
      <c r="D841" s="4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5.75" customHeight="1" s="152">
      <c r="A842" s="1" t="n"/>
      <c r="B842" s="115" t="n"/>
      <c r="C842" s="3" t="n"/>
      <c r="D842" s="4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5.75" customHeight="1" s="152">
      <c r="A843" s="1" t="n"/>
      <c r="B843" s="115" t="n"/>
      <c r="C843" s="3" t="n"/>
      <c r="D843" s="4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5.75" customHeight="1" s="152">
      <c r="A844" s="1" t="n"/>
      <c r="B844" s="115" t="n"/>
      <c r="C844" s="3" t="n"/>
      <c r="D844" s="4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5.75" customHeight="1" s="152">
      <c r="A845" s="1" t="n"/>
      <c r="B845" s="115" t="n"/>
      <c r="C845" s="3" t="n"/>
      <c r="D845" s="4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5.75" customHeight="1" s="152">
      <c r="A846" s="1" t="n"/>
      <c r="B846" s="115" t="n"/>
      <c r="C846" s="3" t="n"/>
      <c r="D846" s="4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5.75" customHeight="1" s="152">
      <c r="A847" s="1" t="n"/>
      <c r="B847" s="115" t="n"/>
      <c r="C847" s="3" t="n"/>
      <c r="D847" s="4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5.75" customHeight="1" s="152">
      <c r="A848" s="1" t="n"/>
      <c r="B848" s="115" t="n"/>
      <c r="C848" s="3" t="n"/>
      <c r="D848" s="4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5.75" customHeight="1" s="152">
      <c r="A849" s="1" t="n"/>
      <c r="B849" s="115" t="n"/>
      <c r="C849" s="3" t="n"/>
      <c r="D849" s="4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5.75" customHeight="1" s="152">
      <c r="A850" s="1" t="n"/>
      <c r="B850" s="115" t="n"/>
      <c r="C850" s="3" t="n"/>
      <c r="D850" s="4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5.75" customHeight="1" s="152">
      <c r="A851" s="1" t="n"/>
      <c r="B851" s="115" t="n"/>
      <c r="C851" s="3" t="n"/>
      <c r="D851" s="4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5.75" customHeight="1" s="152">
      <c r="A852" s="1" t="n"/>
      <c r="B852" s="115" t="n"/>
      <c r="C852" s="3" t="n"/>
      <c r="D852" s="4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5.75" customHeight="1" s="152">
      <c r="A853" s="1" t="n"/>
      <c r="B853" s="115" t="n"/>
      <c r="C853" s="3" t="n"/>
      <c r="D853" s="4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5.75" customHeight="1" s="152">
      <c r="A854" s="1" t="n"/>
      <c r="B854" s="115" t="n"/>
      <c r="C854" s="3" t="n"/>
      <c r="D854" s="4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5.75" customHeight="1" s="152">
      <c r="A855" s="1" t="n"/>
      <c r="B855" s="115" t="n"/>
      <c r="C855" s="3" t="n"/>
      <c r="D855" s="4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5.75" customHeight="1" s="152">
      <c r="A856" s="1" t="n"/>
      <c r="B856" s="115" t="n"/>
      <c r="C856" s="3" t="n"/>
      <c r="D856" s="4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5.75" customHeight="1" s="152">
      <c r="A857" s="1" t="n"/>
      <c r="B857" s="115" t="n"/>
      <c r="C857" s="3" t="n"/>
      <c r="D857" s="4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5.75" customHeight="1" s="152">
      <c r="A858" s="1" t="n"/>
      <c r="B858" s="115" t="n"/>
      <c r="C858" s="3" t="n"/>
      <c r="D858" s="4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5.75" customHeight="1" s="152">
      <c r="A859" s="1" t="n"/>
      <c r="B859" s="115" t="n"/>
      <c r="C859" s="3" t="n"/>
      <c r="D859" s="4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5.75" customHeight="1" s="152">
      <c r="A860" s="1" t="n"/>
      <c r="B860" s="115" t="n"/>
      <c r="C860" s="3" t="n"/>
      <c r="D860" s="4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5.75" customHeight="1" s="152">
      <c r="A861" s="1" t="n"/>
      <c r="B861" s="115" t="n"/>
      <c r="C861" s="3" t="n"/>
      <c r="D861" s="4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5.75" customHeight="1" s="152">
      <c r="A862" s="1" t="n"/>
      <c r="B862" s="115" t="n"/>
      <c r="C862" s="3" t="n"/>
      <c r="D862" s="4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5.75" customHeight="1" s="152">
      <c r="A863" s="1" t="n"/>
      <c r="B863" s="115" t="n"/>
      <c r="C863" s="3" t="n"/>
      <c r="D863" s="4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5.75" customHeight="1" s="152">
      <c r="A864" s="1" t="n"/>
      <c r="B864" s="115" t="n"/>
      <c r="C864" s="3" t="n"/>
      <c r="D864" s="4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5.75" customHeight="1" s="152">
      <c r="A865" s="1" t="n"/>
      <c r="B865" s="115" t="n"/>
      <c r="C865" s="3" t="n"/>
      <c r="D865" s="4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5.75" customHeight="1" s="152">
      <c r="A866" s="1" t="n"/>
      <c r="B866" s="115" t="n"/>
      <c r="C866" s="3" t="n"/>
      <c r="D866" s="4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5.75" customHeight="1" s="152">
      <c r="A867" s="1" t="n"/>
      <c r="B867" s="115" t="n"/>
      <c r="C867" s="3" t="n"/>
      <c r="D867" s="4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5.75" customHeight="1" s="152">
      <c r="A868" s="1" t="n"/>
      <c r="B868" s="115" t="n"/>
      <c r="C868" s="3" t="n"/>
      <c r="D868" s="4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5.75" customHeight="1" s="152">
      <c r="A869" s="1" t="n"/>
      <c r="B869" s="115" t="n"/>
      <c r="C869" s="3" t="n"/>
      <c r="D869" s="4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5.75" customHeight="1" s="152">
      <c r="A870" s="1" t="n"/>
      <c r="B870" s="115" t="n"/>
      <c r="C870" s="3" t="n"/>
      <c r="D870" s="4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5.75" customHeight="1" s="152">
      <c r="A871" s="1" t="n"/>
      <c r="B871" s="115" t="n"/>
      <c r="C871" s="3" t="n"/>
      <c r="D871" s="4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5.75" customHeight="1" s="152">
      <c r="A872" s="1" t="n"/>
      <c r="B872" s="115" t="n"/>
      <c r="C872" s="3" t="n"/>
      <c r="D872" s="4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5.75" customHeight="1" s="152">
      <c r="A873" s="1" t="n"/>
      <c r="B873" s="115" t="n"/>
      <c r="C873" s="3" t="n"/>
      <c r="D873" s="4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5.75" customHeight="1" s="152">
      <c r="A874" s="1" t="n"/>
      <c r="B874" s="115" t="n"/>
      <c r="C874" s="3" t="n"/>
      <c r="D874" s="4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5.75" customHeight="1" s="152">
      <c r="A875" s="1" t="n"/>
      <c r="B875" s="115" t="n"/>
      <c r="C875" s="3" t="n"/>
      <c r="D875" s="4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5.75" customHeight="1" s="152">
      <c r="A876" s="1" t="n"/>
      <c r="B876" s="115" t="n"/>
      <c r="C876" s="3" t="n"/>
      <c r="D876" s="4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5.75" customHeight="1" s="152">
      <c r="A877" s="1" t="n"/>
      <c r="B877" s="115" t="n"/>
      <c r="C877" s="3" t="n"/>
      <c r="D877" s="4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5.75" customHeight="1" s="152">
      <c r="A878" s="1" t="n"/>
      <c r="B878" s="115" t="n"/>
      <c r="C878" s="3" t="n"/>
      <c r="D878" s="4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5.75" customHeight="1" s="152">
      <c r="A879" s="1" t="n"/>
      <c r="B879" s="115" t="n"/>
      <c r="C879" s="3" t="n"/>
      <c r="D879" s="4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5.75" customHeight="1" s="152">
      <c r="A880" s="1" t="n"/>
      <c r="B880" s="115" t="n"/>
      <c r="C880" s="3" t="n"/>
      <c r="D880" s="4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5.75" customHeight="1" s="152">
      <c r="A881" s="1" t="n"/>
      <c r="B881" s="115" t="n"/>
      <c r="C881" s="3" t="n"/>
      <c r="D881" s="4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5.75" customHeight="1" s="152">
      <c r="A882" s="1" t="n"/>
      <c r="B882" s="115" t="n"/>
      <c r="C882" s="3" t="n"/>
      <c r="D882" s="4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5.75" customHeight="1" s="152">
      <c r="A883" s="1" t="n"/>
      <c r="B883" s="115" t="n"/>
      <c r="C883" s="3" t="n"/>
      <c r="D883" s="4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5.75" customHeight="1" s="152">
      <c r="A884" s="1" t="n"/>
      <c r="B884" s="115" t="n"/>
      <c r="C884" s="3" t="n"/>
      <c r="D884" s="4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5.75" customHeight="1" s="152">
      <c r="A885" s="1" t="n"/>
      <c r="B885" s="115" t="n"/>
      <c r="C885" s="3" t="n"/>
      <c r="D885" s="4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5.75" customHeight="1" s="152">
      <c r="A886" s="1" t="n"/>
      <c r="B886" s="115" t="n"/>
      <c r="C886" s="3" t="n"/>
      <c r="D886" s="4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5.75" customHeight="1" s="152">
      <c r="A887" s="1" t="n"/>
      <c r="B887" s="115" t="n"/>
      <c r="C887" s="3" t="n"/>
      <c r="D887" s="4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5.75" customHeight="1" s="152">
      <c r="A888" s="1" t="n"/>
      <c r="B888" s="115" t="n"/>
      <c r="C888" s="3" t="n"/>
      <c r="D888" s="4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5.75" customHeight="1" s="152">
      <c r="A889" s="1" t="n"/>
      <c r="B889" s="115" t="n"/>
      <c r="C889" s="3" t="n"/>
      <c r="D889" s="4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5.75" customHeight="1" s="152">
      <c r="A890" s="1" t="n"/>
      <c r="B890" s="115" t="n"/>
      <c r="C890" s="3" t="n"/>
      <c r="D890" s="4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5.75" customHeight="1" s="152">
      <c r="A891" s="1" t="n"/>
      <c r="B891" s="115" t="n"/>
      <c r="C891" s="3" t="n"/>
      <c r="D891" s="4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5.75" customHeight="1" s="152">
      <c r="A892" s="1" t="n"/>
      <c r="B892" s="115" t="n"/>
      <c r="C892" s="3" t="n"/>
      <c r="D892" s="4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5.75" customHeight="1" s="152">
      <c r="A893" s="1" t="n"/>
      <c r="B893" s="115" t="n"/>
      <c r="C893" s="3" t="n"/>
      <c r="D893" s="4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5.75" customHeight="1" s="152">
      <c r="A894" s="1" t="n"/>
      <c r="B894" s="115" t="n"/>
      <c r="C894" s="3" t="n"/>
      <c r="D894" s="4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5.75" customHeight="1" s="152">
      <c r="A895" s="1" t="n"/>
      <c r="B895" s="115" t="n"/>
      <c r="C895" s="3" t="n"/>
      <c r="D895" s="4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5.75" customHeight="1" s="152">
      <c r="A896" s="1" t="n"/>
      <c r="B896" s="115" t="n"/>
      <c r="C896" s="3" t="n"/>
      <c r="D896" s="4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5.75" customHeight="1" s="152">
      <c r="A897" s="1" t="n"/>
      <c r="B897" s="115" t="n"/>
      <c r="C897" s="3" t="n"/>
      <c r="D897" s="4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5.75" customHeight="1" s="152">
      <c r="A898" s="1" t="n"/>
      <c r="B898" s="115" t="n"/>
      <c r="C898" s="3" t="n"/>
      <c r="D898" s="4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5.75" customHeight="1" s="152">
      <c r="A899" s="1" t="n"/>
      <c r="B899" s="115" t="n"/>
      <c r="C899" s="3" t="n"/>
      <c r="D899" s="4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5.75" customHeight="1" s="152">
      <c r="A900" s="1" t="n"/>
      <c r="B900" s="115" t="n"/>
      <c r="C900" s="3" t="n"/>
      <c r="D900" s="4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5.75" customHeight="1" s="152">
      <c r="A901" s="1" t="n"/>
      <c r="B901" s="115" t="n"/>
      <c r="C901" s="3" t="n"/>
      <c r="D901" s="4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5.75" customHeight="1" s="152">
      <c r="A902" s="1" t="n"/>
      <c r="B902" s="115" t="n"/>
      <c r="C902" s="3" t="n"/>
      <c r="D902" s="4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5.75" customHeight="1" s="152">
      <c r="A903" s="1" t="n"/>
      <c r="B903" s="115" t="n"/>
      <c r="C903" s="3" t="n"/>
      <c r="D903" s="4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5.75" customHeight="1" s="152">
      <c r="A904" s="1" t="n"/>
      <c r="B904" s="115" t="n"/>
      <c r="C904" s="3" t="n"/>
      <c r="D904" s="4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5.75" customHeight="1" s="152">
      <c r="A905" s="1" t="n"/>
      <c r="B905" s="115" t="n"/>
      <c r="C905" s="3" t="n"/>
      <c r="D905" s="4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5.75" customHeight="1" s="152">
      <c r="A906" s="1" t="n"/>
      <c r="B906" s="115" t="n"/>
      <c r="C906" s="3" t="n"/>
      <c r="D906" s="4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5.75" customHeight="1" s="152">
      <c r="A907" s="1" t="n"/>
      <c r="B907" s="115" t="n"/>
      <c r="C907" s="3" t="n"/>
      <c r="D907" s="4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5.75" customHeight="1" s="152">
      <c r="A908" s="1" t="n"/>
      <c r="B908" s="115" t="n"/>
      <c r="C908" s="3" t="n"/>
      <c r="D908" s="4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5.75" customHeight="1" s="152">
      <c r="A909" s="1" t="n"/>
      <c r="B909" s="115" t="n"/>
      <c r="C909" s="3" t="n"/>
      <c r="D909" s="4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5.75" customHeight="1" s="152">
      <c r="A910" s="1" t="n"/>
      <c r="B910" s="115" t="n"/>
      <c r="C910" s="3" t="n"/>
      <c r="D910" s="4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5.75" customHeight="1" s="152">
      <c r="A911" s="1" t="n"/>
      <c r="B911" s="115" t="n"/>
      <c r="C911" s="3" t="n"/>
      <c r="D911" s="4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5.75" customHeight="1" s="152">
      <c r="A912" s="1" t="n"/>
      <c r="B912" s="115" t="n"/>
      <c r="C912" s="3" t="n"/>
      <c r="D912" s="4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5.75" customHeight="1" s="152">
      <c r="A913" s="1" t="n"/>
      <c r="B913" s="115" t="n"/>
      <c r="C913" s="3" t="n"/>
      <c r="D913" s="4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5.75" customHeight="1" s="152">
      <c r="A914" s="1" t="n"/>
      <c r="B914" s="115" t="n"/>
      <c r="C914" s="3" t="n"/>
      <c r="D914" s="4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5.75" customHeight="1" s="152">
      <c r="A915" s="1" t="n"/>
      <c r="B915" s="115" t="n"/>
      <c r="C915" s="3" t="n"/>
      <c r="D915" s="4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5.75" customHeight="1" s="152">
      <c r="A916" s="1" t="n"/>
      <c r="B916" s="115" t="n"/>
      <c r="C916" s="3" t="n"/>
      <c r="D916" s="4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5.75" customHeight="1" s="152">
      <c r="A917" s="1" t="n"/>
      <c r="B917" s="115" t="n"/>
      <c r="C917" s="3" t="n"/>
      <c r="D917" s="4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5.75" customHeight="1" s="152">
      <c r="A918" s="1" t="n"/>
      <c r="B918" s="115" t="n"/>
      <c r="C918" s="3" t="n"/>
      <c r="D918" s="4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5.75" customHeight="1" s="152">
      <c r="A919" s="1" t="n"/>
      <c r="B919" s="115" t="n"/>
      <c r="C919" s="3" t="n"/>
      <c r="D919" s="4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5.75" customHeight="1" s="152">
      <c r="A920" s="1" t="n"/>
      <c r="B920" s="115" t="n"/>
      <c r="C920" s="3" t="n"/>
      <c r="D920" s="4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5.75" customHeight="1" s="152">
      <c r="A921" s="1" t="n"/>
      <c r="B921" s="115" t="n"/>
      <c r="C921" s="3" t="n"/>
      <c r="D921" s="4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5.75" customHeight="1" s="152">
      <c r="A922" s="1" t="n"/>
      <c r="B922" s="115" t="n"/>
      <c r="C922" s="3" t="n"/>
      <c r="D922" s="4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5.75" customHeight="1" s="152">
      <c r="A923" s="1" t="n"/>
      <c r="B923" s="115" t="n"/>
      <c r="C923" s="3" t="n"/>
      <c r="D923" s="4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5.75" customHeight="1" s="152">
      <c r="A924" s="1" t="n"/>
      <c r="B924" s="115" t="n"/>
      <c r="C924" s="3" t="n"/>
      <c r="D924" s="4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5.75" customHeight="1" s="152">
      <c r="A925" s="1" t="n"/>
      <c r="B925" s="115" t="n"/>
      <c r="C925" s="3" t="n"/>
      <c r="D925" s="4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5.75" customHeight="1" s="152">
      <c r="A926" s="1" t="n"/>
      <c r="B926" s="115" t="n"/>
      <c r="C926" s="3" t="n"/>
      <c r="D926" s="4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5.75" customHeight="1" s="152">
      <c r="A927" s="1" t="n"/>
      <c r="B927" s="115" t="n"/>
      <c r="C927" s="3" t="n"/>
      <c r="D927" s="4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5.75" customHeight="1" s="152">
      <c r="A928" s="1" t="n"/>
      <c r="B928" s="115" t="n"/>
      <c r="C928" s="3" t="n"/>
      <c r="D928" s="4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5.75" customHeight="1" s="152">
      <c r="A929" s="1" t="n"/>
      <c r="B929" s="115" t="n"/>
      <c r="C929" s="3" t="n"/>
      <c r="D929" s="4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5.75" customHeight="1" s="152">
      <c r="A930" s="1" t="n"/>
      <c r="B930" s="115" t="n"/>
      <c r="C930" s="3" t="n"/>
      <c r="D930" s="4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5.75" customHeight="1" s="152">
      <c r="A931" s="1" t="n"/>
      <c r="B931" s="115" t="n"/>
      <c r="C931" s="3" t="n"/>
      <c r="D931" s="4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5.75" customHeight="1" s="152">
      <c r="A932" s="1" t="n"/>
      <c r="B932" s="115" t="n"/>
      <c r="C932" s="3" t="n"/>
      <c r="D932" s="4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5.75" customHeight="1" s="152">
      <c r="A933" s="1" t="n"/>
      <c r="B933" s="115" t="n"/>
      <c r="C933" s="3" t="n"/>
      <c r="D933" s="4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5.75" customHeight="1" s="152">
      <c r="A934" s="1" t="n"/>
      <c r="B934" s="115" t="n"/>
      <c r="C934" s="3" t="n"/>
      <c r="D934" s="4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5.75" customHeight="1" s="152">
      <c r="A935" s="1" t="n"/>
      <c r="B935" s="115" t="n"/>
      <c r="C935" s="3" t="n"/>
      <c r="D935" s="4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5.75" customHeight="1" s="152">
      <c r="A936" s="1" t="n"/>
      <c r="B936" s="115" t="n"/>
      <c r="C936" s="3" t="n"/>
      <c r="D936" s="4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5.75" customHeight="1" s="152">
      <c r="A937" s="1" t="n"/>
      <c r="B937" s="115" t="n"/>
      <c r="C937" s="3" t="n"/>
      <c r="D937" s="4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5.75" customHeight="1" s="152">
      <c r="A938" s="1" t="n"/>
      <c r="B938" s="115" t="n"/>
      <c r="C938" s="3" t="n"/>
      <c r="D938" s="4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5.75" customHeight="1" s="152">
      <c r="A939" s="1" t="n"/>
      <c r="B939" s="115" t="n"/>
      <c r="C939" s="3" t="n"/>
      <c r="D939" s="4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5.75" customHeight="1" s="152">
      <c r="A940" s="1" t="n"/>
      <c r="B940" s="115" t="n"/>
      <c r="C940" s="3" t="n"/>
      <c r="D940" s="4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5.75" customHeight="1" s="152">
      <c r="A941" s="1" t="n"/>
      <c r="B941" s="115" t="n"/>
      <c r="C941" s="3" t="n"/>
      <c r="D941" s="4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5.75" customHeight="1" s="152">
      <c r="A942" s="1" t="n"/>
      <c r="B942" s="115" t="n"/>
      <c r="C942" s="3" t="n"/>
      <c r="D942" s="4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5.75" customHeight="1" s="152">
      <c r="A943" s="1" t="n"/>
      <c r="B943" s="115" t="n"/>
      <c r="C943" s="3" t="n"/>
      <c r="D943" s="4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5.75" customHeight="1" s="152">
      <c r="A944" s="1" t="n"/>
      <c r="B944" s="115" t="n"/>
      <c r="C944" s="3" t="n"/>
      <c r="D944" s="4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5.75" customHeight="1" s="152">
      <c r="A945" s="1" t="n"/>
      <c r="B945" s="115" t="n"/>
      <c r="C945" s="3" t="n"/>
      <c r="D945" s="4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5.75" customHeight="1" s="152">
      <c r="A946" s="1" t="n"/>
      <c r="B946" s="115" t="n"/>
      <c r="C946" s="3" t="n"/>
      <c r="D946" s="4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5.75" customHeight="1" s="152">
      <c r="A947" s="1" t="n"/>
      <c r="B947" s="115" t="n"/>
      <c r="C947" s="3" t="n"/>
      <c r="D947" s="4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5.75" customHeight="1" s="152">
      <c r="A948" s="1" t="n"/>
      <c r="B948" s="115" t="n"/>
      <c r="C948" s="3" t="n"/>
      <c r="D948" s="4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5.75" customHeight="1" s="152">
      <c r="A949" s="1" t="n"/>
      <c r="B949" s="115" t="n"/>
      <c r="C949" s="3" t="n"/>
      <c r="D949" s="4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5.75" customHeight="1" s="152">
      <c r="A950" s="1" t="n"/>
      <c r="B950" s="115" t="n"/>
      <c r="C950" s="3" t="n"/>
      <c r="D950" s="4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5.75" customHeight="1" s="152">
      <c r="A951" s="1" t="n"/>
      <c r="B951" s="115" t="n"/>
      <c r="C951" s="3" t="n"/>
      <c r="D951" s="4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5.75" customHeight="1" s="152">
      <c r="A952" s="1" t="n"/>
      <c r="B952" s="115" t="n"/>
      <c r="C952" s="3" t="n"/>
      <c r="D952" s="4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5.75" customHeight="1" s="152">
      <c r="A953" s="1" t="n"/>
      <c r="B953" s="115" t="n"/>
      <c r="C953" s="3" t="n"/>
      <c r="D953" s="4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5.75" customHeight="1" s="152">
      <c r="A954" s="1" t="n"/>
      <c r="B954" s="115" t="n"/>
      <c r="C954" s="3" t="n"/>
      <c r="D954" s="4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5.75" customHeight="1" s="152">
      <c r="A955" s="1" t="n"/>
      <c r="B955" s="115" t="n"/>
      <c r="C955" s="3" t="n"/>
      <c r="D955" s="4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5.75" customHeight="1" s="152">
      <c r="A956" s="1" t="n"/>
      <c r="B956" s="115" t="n"/>
      <c r="C956" s="3" t="n"/>
      <c r="D956" s="4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5.75" customHeight="1" s="152">
      <c r="A957" s="1" t="n"/>
      <c r="B957" s="115" t="n"/>
      <c r="C957" s="3" t="n"/>
      <c r="D957" s="4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5.75" customHeight="1" s="152">
      <c r="A958" s="1" t="n"/>
      <c r="B958" s="115" t="n"/>
      <c r="C958" s="3" t="n"/>
      <c r="D958" s="4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5.75" customHeight="1" s="152">
      <c r="A959" s="1" t="n"/>
      <c r="B959" s="115" t="n"/>
      <c r="C959" s="3" t="n"/>
      <c r="D959" s="4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5.75" customHeight="1" s="152">
      <c r="A960" s="1" t="n"/>
      <c r="B960" s="115" t="n"/>
      <c r="C960" s="3" t="n"/>
      <c r="D960" s="4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5.75" customHeight="1" s="152">
      <c r="A961" s="1" t="n"/>
      <c r="B961" s="115" t="n"/>
      <c r="C961" s="3" t="n"/>
      <c r="D961" s="4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5.75" customHeight="1" s="152">
      <c r="A962" s="1" t="n"/>
      <c r="B962" s="115" t="n"/>
      <c r="C962" s="3" t="n"/>
      <c r="D962" s="4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5.75" customHeight="1" s="152">
      <c r="A963" s="1" t="n"/>
      <c r="B963" s="115" t="n"/>
      <c r="C963" s="3" t="n"/>
      <c r="D963" s="4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5.75" customHeight="1" s="152">
      <c r="A964" s="1" t="n"/>
      <c r="B964" s="115" t="n"/>
      <c r="C964" s="3" t="n"/>
      <c r="D964" s="4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5.75" customHeight="1" s="152">
      <c r="A965" s="1" t="n"/>
      <c r="B965" s="115" t="n"/>
      <c r="C965" s="3" t="n"/>
      <c r="D965" s="4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5.75" customHeight="1" s="152">
      <c r="A966" s="1" t="n"/>
      <c r="B966" s="115" t="n"/>
      <c r="C966" s="3" t="n"/>
      <c r="D966" s="4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5.75" customHeight="1" s="152">
      <c r="A967" s="1" t="n"/>
      <c r="B967" s="115" t="n"/>
      <c r="C967" s="3" t="n"/>
      <c r="D967" s="4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5.75" customHeight="1" s="152">
      <c r="A968" s="1" t="n"/>
      <c r="B968" s="115" t="n"/>
      <c r="C968" s="3" t="n"/>
      <c r="D968" s="4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5.75" customHeight="1" s="152">
      <c r="A969" s="1" t="n"/>
      <c r="B969" s="115" t="n"/>
      <c r="C969" s="3" t="n"/>
      <c r="D969" s="4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5.75" customHeight="1" s="152">
      <c r="A970" s="1" t="n"/>
      <c r="B970" s="115" t="n"/>
      <c r="C970" s="3" t="n"/>
      <c r="D970" s="4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5.75" customHeight="1" s="152">
      <c r="A971" s="1" t="n"/>
      <c r="B971" s="115" t="n"/>
      <c r="C971" s="3" t="n"/>
      <c r="D971" s="4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5.75" customHeight="1" s="152">
      <c r="A972" s="1" t="n"/>
      <c r="B972" s="115" t="n"/>
      <c r="C972" s="3" t="n"/>
      <c r="D972" s="4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5.75" customHeight="1" s="152">
      <c r="A973" s="1" t="n"/>
      <c r="B973" s="115" t="n"/>
      <c r="C973" s="3" t="n"/>
      <c r="D973" s="4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5.75" customHeight="1" s="152">
      <c r="A974" s="1" t="n"/>
      <c r="B974" s="115" t="n"/>
      <c r="C974" s="3" t="n"/>
      <c r="D974" s="4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5.75" customHeight="1" s="152">
      <c r="A975" s="1" t="n"/>
      <c r="B975" s="115" t="n"/>
      <c r="C975" s="3" t="n"/>
      <c r="D975" s="4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5.75" customHeight="1" s="152">
      <c r="A976" s="1" t="n"/>
      <c r="B976" s="115" t="n"/>
      <c r="C976" s="3" t="n"/>
      <c r="D976" s="4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5.75" customHeight="1" s="152">
      <c r="A977" s="1" t="n"/>
      <c r="B977" s="115" t="n"/>
      <c r="C977" s="3" t="n"/>
      <c r="D977" s="4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5.75" customHeight="1" s="152">
      <c r="A978" s="1" t="n"/>
      <c r="B978" s="115" t="n"/>
      <c r="C978" s="3" t="n"/>
      <c r="D978" s="4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5.75" customHeight="1" s="152">
      <c r="A979" s="1" t="n"/>
      <c r="B979" s="115" t="n"/>
      <c r="C979" s="3" t="n"/>
      <c r="D979" s="4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5.75" customHeight="1" s="152">
      <c r="A980" s="1" t="n"/>
      <c r="B980" s="115" t="n"/>
      <c r="C980" s="3" t="n"/>
      <c r="D980" s="4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5.75" customHeight="1" s="152">
      <c r="A981" s="1" t="n"/>
      <c r="B981" s="115" t="n"/>
      <c r="C981" s="3" t="n"/>
      <c r="D981" s="4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5.75" customHeight="1" s="152">
      <c r="A982" s="1" t="n"/>
      <c r="B982" s="115" t="n"/>
      <c r="C982" s="3" t="n"/>
      <c r="D982" s="4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5.75" customHeight="1" s="152">
      <c r="A983" s="1" t="n"/>
      <c r="B983" s="115" t="n"/>
      <c r="C983" s="3" t="n"/>
      <c r="D983" s="4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5.75" customHeight="1" s="152">
      <c r="A984" s="1" t="n"/>
      <c r="B984" s="115" t="n"/>
      <c r="C984" s="3" t="n"/>
      <c r="D984" s="4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5.75" customHeight="1" s="152">
      <c r="A985" s="1" t="n"/>
      <c r="B985" s="115" t="n"/>
      <c r="C985" s="3" t="n"/>
      <c r="D985" s="4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5.75" customHeight="1" s="152">
      <c r="A986" s="1" t="n"/>
      <c r="B986" s="115" t="n"/>
      <c r="C986" s="3" t="n"/>
      <c r="D986" s="4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5.75" customHeight="1" s="152">
      <c r="A987" s="1" t="n"/>
      <c r="B987" s="115" t="n"/>
      <c r="C987" s="3" t="n"/>
      <c r="D987" s="4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5.75" customHeight="1" s="152">
      <c r="A988" s="1" t="n"/>
      <c r="B988" s="115" t="n"/>
      <c r="C988" s="3" t="n"/>
      <c r="D988" s="4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5.75" customHeight="1" s="152">
      <c r="A989" s="1" t="n"/>
      <c r="B989" s="115" t="n"/>
      <c r="C989" s="3" t="n"/>
      <c r="D989" s="4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5.75" customHeight="1" s="152">
      <c r="A990" s="1" t="n"/>
      <c r="B990" s="115" t="n"/>
      <c r="C990" s="3" t="n"/>
      <c r="D990" s="4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5.75" customHeight="1" s="152">
      <c r="A991" s="1" t="n"/>
      <c r="B991" s="115" t="n"/>
      <c r="C991" s="3" t="n"/>
      <c r="D991" s="4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5.75" customHeight="1" s="152">
      <c r="A992" s="1" t="n"/>
      <c r="B992" s="115" t="n"/>
      <c r="C992" s="3" t="n"/>
      <c r="D992" s="4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5.75" customHeight="1" s="152">
      <c r="A993" s="1" t="n"/>
      <c r="B993" s="115" t="n"/>
      <c r="C993" s="3" t="n"/>
      <c r="D993" s="4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5.75" customHeight="1" s="152">
      <c r="A994" s="1" t="n"/>
      <c r="B994" s="115" t="n"/>
      <c r="C994" s="3" t="n"/>
      <c r="D994" s="4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5.75" customHeight="1" s="152">
      <c r="A995" s="1" t="n"/>
      <c r="B995" s="115" t="n"/>
      <c r="C995" s="3" t="n"/>
      <c r="D995" s="4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5.75" customHeight="1" s="152">
      <c r="A996" s="1" t="n"/>
      <c r="B996" s="115" t="n"/>
      <c r="C996" s="3" t="n"/>
      <c r="D996" s="4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5.75" customHeight="1" s="152">
      <c r="A997" s="1" t="n"/>
      <c r="B997" s="115" t="n"/>
      <c r="C997" s="3" t="n"/>
      <c r="D997" s="4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5.75" customHeight="1" s="152">
      <c r="A998" s="1" t="n"/>
      <c r="B998" s="115" t="n"/>
      <c r="C998" s="3" t="n"/>
      <c r="D998" s="4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5.75" customHeight="1" s="152">
      <c r="A999" s="1" t="n"/>
      <c r="B999" s="115" t="n"/>
      <c r="C999" s="3" t="n"/>
      <c r="D999" s="4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5.75" customHeight="1" s="152">
      <c r="A1000" s="1" t="n"/>
      <c r="B1000" s="115" t="n"/>
      <c r="C1000" s="3" t="n"/>
      <c r="D1000" s="4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5">
    <mergeCell ref="F185:K185"/>
    <mergeCell ref="B187:E187"/>
    <mergeCell ref="B184:E184"/>
    <mergeCell ref="F188:L188"/>
    <mergeCell ref="B185:E185"/>
  </mergeCells>
  <pageMargins left="0.7" right="0.7" top="0.75" bottom="0.75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Lee</dc:creator>
  <dcterms:created xmlns:dcterms="http://purl.org/dc/terms/" xmlns:xsi="http://www.w3.org/2001/XMLSchema-instance" xsi:type="dcterms:W3CDTF">2015-08-31T15:57:15Z</dcterms:created>
  <dcterms:modified xmlns:dcterms="http://purl.org/dc/terms/" xmlns:xsi="http://www.w3.org/2001/XMLSchema-instance" xsi:type="dcterms:W3CDTF">2026-06-03T15:14:04Z</dcterms:modified>
  <cp:lastModifiedBy>Jason Yant - Senior Project Manager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0x010100BD6D1FB0321FC34E8B03C567318C036A</vt:lpwstr>
  </property>
  <property name="MediaServiceImageTags" fmtid="{D5CDD505-2E9C-101B-9397-08002B2CF9AE}" pid="3">
    <vt:lpwstr xmlns:vt="http://schemas.openxmlformats.org/officeDocument/2006/docPropsVTypes"/>
  </property>
</Properties>
</file>